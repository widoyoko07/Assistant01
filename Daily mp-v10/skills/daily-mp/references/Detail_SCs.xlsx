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. Download\"/>
    </mc:Choice>
  </mc:AlternateContent>
  <xr:revisionPtr revIDLastSave="0" documentId="13_ncr:1_{31AC3A8E-DA63-4240-87FF-072B01C5F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metaan Posisi" sheetId="1" r:id="rId1"/>
    <sheet name="DHJ" sheetId="2" state="hidden" r:id="rId2"/>
    <sheet name="TPE" sheetId="3" state="hidden" r:id="rId3"/>
    <sheet name="WME" sheetId="4" state="hidden" r:id="rId4"/>
    <sheet name="SILOG" sheetId="5" state="hidden" r:id="rId5"/>
    <sheet name="WKP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C36" i="1"/>
  <c r="C35" i="1"/>
  <c r="C34" i="1"/>
  <c r="C33" i="1"/>
  <c r="C32" i="1"/>
  <c r="C31" i="1"/>
  <c r="C30" i="1"/>
  <c r="C29" i="1"/>
  <c r="C28" i="1"/>
  <c r="C27" i="1"/>
  <c r="C24" i="1"/>
  <c r="C23" i="1"/>
  <c r="C22" i="1"/>
  <c r="C21" i="1"/>
  <c r="C20" i="1"/>
  <c r="C19" i="1"/>
  <c r="C18" i="1"/>
  <c r="C17" i="1"/>
  <c r="C16" i="1"/>
  <c r="C15" i="1"/>
  <c r="C14" i="1"/>
  <c r="C13" i="1"/>
  <c r="C26" i="1"/>
  <c r="C28" i="3" a="1"/>
  <c r="C27" i="3" a="1"/>
  <c r="C26" i="3" a="1"/>
  <c r="C25" i="3" a="1"/>
  <c r="C24" i="3" a="1"/>
  <c r="C23" i="3" a="1"/>
  <c r="C22" i="3" a="1"/>
  <c r="C21" i="3" a="1"/>
  <c r="C20" i="3" a="1"/>
  <c r="C19" i="3" a="1"/>
  <c r="C18" i="3" a="1"/>
  <c r="C17" i="3" a="1"/>
  <c r="C16" i="3" a="1"/>
  <c r="C15" i="3" a="1"/>
  <c r="C14" i="3" a="1"/>
  <c r="C13" i="3" a="1"/>
  <c r="C12" i="3" a="1"/>
  <c r="C11" i="3" a="1"/>
  <c r="C10" i="3" a="1"/>
  <c r="C9" i="3" a="1"/>
  <c r="C8" i="3" a="1"/>
  <c r="C7" i="3" a="1"/>
  <c r="C6" i="3" a="1"/>
  <c r="C5" i="3" a="1"/>
  <c r="C4" i="3" a="1"/>
  <c r="C3" i="3" a="1"/>
  <c r="G3" i="3" a="1"/>
  <c r="B12" i="1" a="1"/>
  <c r="D1" i="6"/>
  <c r="E1" i="6" s="1"/>
  <c r="F1" i="6" s="1"/>
  <c r="D1" i="5"/>
  <c r="E1" i="5" s="1"/>
  <c r="F1" i="5" s="1"/>
  <c r="E29" i="3"/>
  <c r="D1" i="3"/>
  <c r="E1" i="3" s="1"/>
  <c r="F1" i="3" s="1"/>
  <c r="F30" i="2"/>
  <c r="E30" i="2"/>
  <c r="C30" i="2"/>
  <c r="D1" i="2"/>
  <c r="E1" i="2" s="1"/>
  <c r="F1" i="2" s="1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G3" i="3"/>
  <c r="C3" i="3"/>
  <c r="B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<sst xmlns="http://schemas.openxmlformats.org/spreadsheetml/2006/main" count="514" uniqueCount="196">
  <si>
    <t>DHJ</t>
  </si>
  <si>
    <t>TPE</t>
  </si>
  <si>
    <t>List Subcontractor (SC)</t>
  </si>
  <si>
    <t>Nama Lain</t>
  </si>
  <si>
    <t>WME</t>
  </si>
  <si>
    <t>Wasa Mitra Engineering</t>
  </si>
  <si>
    <t>Tiga Pilar Energi</t>
  </si>
  <si>
    <t>SILOG</t>
  </si>
  <si>
    <t>Semen Indonesia Logistik</t>
  </si>
  <si>
    <t>Duta Hita Jaya</t>
  </si>
  <si>
    <t xml:space="preserve">WKP </t>
  </si>
  <si>
    <t>Wirya Krenindo Perkasa</t>
  </si>
  <si>
    <t>BCP</t>
  </si>
  <si>
    <t>Berkah Cipta Perkasa</t>
  </si>
  <si>
    <t>TODJO</t>
  </si>
  <si>
    <t>Tohoma Mandiri-Dwidjo Jaya Konstruksi</t>
  </si>
  <si>
    <t>Position</t>
  </si>
  <si>
    <t>Project Manager</t>
  </si>
  <si>
    <t>pm</t>
  </si>
  <si>
    <t>Site Manager</t>
  </si>
  <si>
    <t>cm</t>
  </si>
  <si>
    <t>Deputy Project Manager</t>
  </si>
  <si>
    <t>PM</t>
  </si>
  <si>
    <t>dpm</t>
  </si>
  <si>
    <t>Planning Eng</t>
  </si>
  <si>
    <t>DPM</t>
  </si>
  <si>
    <t>Construction Manager</t>
  </si>
  <si>
    <t>SM, Site Manager</t>
  </si>
  <si>
    <t>Deputy Construction Manager</t>
  </si>
  <si>
    <t>DCM</t>
  </si>
  <si>
    <t>se</t>
  </si>
  <si>
    <t>Site Engineer</t>
  </si>
  <si>
    <t>SE, Engineer, PPC, Planning Engineer, Piping Engineer, Eng, PC, Field Engineer</t>
  </si>
  <si>
    <t>HSE</t>
  </si>
  <si>
    <t>Piping Eng</t>
  </si>
  <si>
    <t>HSE, Safety Officer, Admin HSE, HSE Coordinator</t>
  </si>
  <si>
    <t>QC</t>
  </si>
  <si>
    <t>Deputy CM</t>
  </si>
  <si>
    <t>QC, Admin QC, Welding Inspector, QC Field</t>
  </si>
  <si>
    <t>dcm</t>
  </si>
  <si>
    <t>Lifting Eng</t>
  </si>
  <si>
    <t>Surveyor</t>
  </si>
  <si>
    <t>Survey, Ass Survey,, Assistan Surveyor</t>
  </si>
  <si>
    <t>Supervisor</t>
  </si>
  <si>
    <t>HSE Coor</t>
  </si>
  <si>
    <t>Supervicor, SPV, Ass SPV, SPV Other</t>
  </si>
  <si>
    <t>hse</t>
  </si>
  <si>
    <t>Foreman</t>
  </si>
  <si>
    <t>HSE Manager</t>
  </si>
  <si>
    <t>hsem</t>
  </si>
  <si>
    <t>Scaffolder</t>
  </si>
  <si>
    <t>Inspector Scaffolder, Scaffolder, Helper Scaffolder, Foreman Scaffolder</t>
  </si>
  <si>
    <t>HSE Engineer</t>
  </si>
  <si>
    <t>Skilled Worker</t>
  </si>
  <si>
    <t>Erector, Civil, Welder, Rigger, Fitter, Skill Matcon, Checker, Skill Other, Millright, FM Other, Teknisi, Mekanik, Wiring, Busbar</t>
  </si>
  <si>
    <t>Common Labor</t>
  </si>
  <si>
    <t>Helper, Driver, Housekeeping</t>
  </si>
  <si>
    <t>qc</t>
  </si>
  <si>
    <t>Survey Manager</t>
  </si>
  <si>
    <t>Staff</t>
  </si>
  <si>
    <t>svym</t>
  </si>
  <si>
    <t>Admin, Docon, Matcon/Matecon (Material Control), SPV HRGA, SPV Finance, SDCC, Document Controller</t>
  </si>
  <si>
    <t>Weld Inspect</t>
  </si>
  <si>
    <t>Operator</t>
  </si>
  <si>
    <t>Operator, OPR Crane, OPR TMC</t>
  </si>
  <si>
    <t>Surveyor Manager</t>
  </si>
  <si>
    <t>svy</t>
  </si>
  <si>
    <t>SPV Piping</t>
  </si>
  <si>
    <t>spv</t>
  </si>
  <si>
    <t>QS Department</t>
  </si>
  <si>
    <t>SPV</t>
  </si>
  <si>
    <t>qs</t>
  </si>
  <si>
    <t>SPV Scaff</t>
  </si>
  <si>
    <t>Land 1</t>
  </si>
  <si>
    <t>Engineering Department</t>
  </si>
  <si>
    <t>Land 2</t>
  </si>
  <si>
    <t>QA/QC Department</t>
  </si>
  <si>
    <t>eng</t>
  </si>
  <si>
    <t>SPV Matecon</t>
  </si>
  <si>
    <t>Administration Department</t>
  </si>
  <si>
    <t>M/E Department (Jakarta)</t>
  </si>
  <si>
    <t>Ass SPV</t>
  </si>
  <si>
    <t>M/E Department (Overseas)</t>
  </si>
  <si>
    <t>Forman</t>
  </si>
  <si>
    <t>fore</t>
  </si>
  <si>
    <t>Docon</t>
  </si>
  <si>
    <t>staff</t>
  </si>
  <si>
    <t>Rebarman</t>
  </si>
  <si>
    <t>Carpenter</t>
  </si>
  <si>
    <t>SPV Logistic</t>
  </si>
  <si>
    <t>Stone Masonry</t>
  </si>
  <si>
    <t>SPV Proc</t>
  </si>
  <si>
    <t>SPV HR/GA</t>
  </si>
  <si>
    <t>Security</t>
  </si>
  <si>
    <t>rebar</t>
  </si>
  <si>
    <t>SPV Finance</t>
  </si>
  <si>
    <t>Heavy Equipment Operator</t>
  </si>
  <si>
    <t>Driver</t>
  </si>
  <si>
    <t>TOTAL</t>
  </si>
  <si>
    <t>Housekeeping</t>
  </si>
  <si>
    <t>labor</t>
  </si>
  <si>
    <t>scca</t>
  </si>
  <si>
    <t>Fitter</t>
  </si>
  <si>
    <t>skilled</t>
  </si>
  <si>
    <t>Skilled Workers</t>
  </si>
  <si>
    <t>Welder</t>
  </si>
  <si>
    <t>Commoun Labor</t>
  </si>
  <si>
    <t>Rigger</t>
  </si>
  <si>
    <t>operator</t>
  </si>
  <si>
    <t>Checker</t>
  </si>
  <si>
    <t>Survey</t>
  </si>
  <si>
    <t>Skill</t>
  </si>
  <si>
    <t>Matecon</t>
  </si>
  <si>
    <t>Helper</t>
  </si>
  <si>
    <t>WKP</t>
  </si>
  <si>
    <t>SCs Manpower Role (Posisi)</t>
  </si>
  <si>
    <t>Description/Keterangan</t>
  </si>
  <si>
    <t>-</t>
  </si>
  <si>
    <t>Planning Eng, Piping Eng, Lifting Eng</t>
  </si>
  <si>
    <t>HSE Coor, HSE</t>
  </si>
  <si>
    <t>QC, Weld Inspect</t>
  </si>
  <si>
    <t>SPV Piping, SPV Scaff, SPV Matecon, Ass SPV, SPV Logistic, SPV Proc</t>
  </si>
  <si>
    <t>Fitter, Welder, Rigger, Checker, Skill</t>
  </si>
  <si>
    <t>Housekeeping, Helper</t>
  </si>
  <si>
    <t>Docon, SPV HR/GA, SPV Finance, Driver, Matecon</t>
  </si>
  <si>
    <t>Deskripsi Posisi (Role)</t>
  </si>
  <si>
    <t>Pemetaan Posisi Setiap SCs</t>
  </si>
  <si>
    <t>Project Manager / Deputy PM / Construction Manager / Deputy CM</t>
  </si>
  <si>
    <t>PM / DPM / CM / DCM</t>
  </si>
  <si>
    <t>SM, SE, Engineer, PC, PPC, Rigging Eng</t>
  </si>
  <si>
    <t>semua HSE (koordinator dan tiap lokasi). HSE Manager hanya bila tertulis "HSE Manager"</t>
  </si>
  <si>
    <t>Surveyor, Team Surveyor (SPV Survey masuk Supervisor)</t>
  </si>
  <si>
    <t>QC, QA, anggota Team QC</t>
  </si>
  <si>
    <t>Admin, DOCON</t>
  </si>
  <si>
    <t>Matecon / Matkon (material control)</t>
  </si>
  <si>
    <t>semua SPV</t>
  </si>
  <si>
    <t>Foreman, Foremen, FM (termasuk FM_MW), SI</t>
  </si>
  <si>
    <t>Inspector Scaffolding, Scaffolder, anggota Team Scaffolder tanpa role</t>
  </si>
  <si>
    <t>Teknisi, Rigger, Welder, Skill, Helper, Fitter, FT, MW, MEP, crew (f)/(h) TODJO</t>
  </si>
  <si>
    <t>Helper/anggota lokasi Warehouse</t>
  </si>
  <si>
    <t>Operator Crane, Operator TMC</t>
  </si>
  <si>
    <t>Admin, DOCON, Matecon / Matkon (material control)</t>
  </si>
  <si>
    <t>Foreman, Foremen, FM, SI itu Subcontractor Independen atau Foreman, Mandor</t>
  </si>
  <si>
    <t>Teknisi, Rigger, Welder, Skill, Helper, Fitter</t>
  </si>
  <si>
    <t>CM</t>
  </si>
  <si>
    <t>Spv</t>
  </si>
  <si>
    <t>Site Engineer, SE</t>
  </si>
  <si>
    <t>HSE, HSE Officer</t>
  </si>
  <si>
    <t>Inspector Scaffolder/Scf, Scaffolder, Helper Scaffolder/Scf</t>
  </si>
  <si>
    <t>Welder, Erector, Civil</t>
  </si>
  <si>
    <t>Admin, DOCON, Document Control</t>
  </si>
  <si>
    <t>SM</t>
  </si>
  <si>
    <t>Engineer</t>
  </si>
  <si>
    <t>SPV Rigg</t>
  </si>
  <si>
    <t>SPV Mech</t>
  </si>
  <si>
    <t>SPV Survey</t>
  </si>
  <si>
    <t>PPC</t>
  </si>
  <si>
    <t>HRD</t>
  </si>
  <si>
    <t>SDCC</t>
  </si>
  <si>
    <t>Admin</t>
  </si>
  <si>
    <t>Worker</t>
  </si>
  <si>
    <t>RIGGER</t>
  </si>
  <si>
    <t>FM SCAFFOLDER</t>
  </si>
  <si>
    <t>SCAFFOLDER</t>
  </si>
  <si>
    <t>MILLRIGHT</t>
  </si>
  <si>
    <t>SURVEYOR</t>
  </si>
  <si>
    <t>FM ELEC</t>
  </si>
  <si>
    <t>FM FT</t>
  </si>
  <si>
    <t>FM MW</t>
  </si>
  <si>
    <t>ELECTRIC</t>
  </si>
  <si>
    <t>WAREHOUSE</t>
  </si>
  <si>
    <t>HELPER MECH</t>
  </si>
  <si>
    <t>HELPER SCAFF</t>
  </si>
  <si>
    <t>HOLE WATCHER</t>
  </si>
  <si>
    <t>OPR CRANE</t>
  </si>
  <si>
    <t>OPR TMC</t>
  </si>
  <si>
    <t>sm</t>
  </si>
  <si>
    <t>scf</t>
  </si>
  <si>
    <t>DJK Service</t>
  </si>
  <si>
    <t>Dwidjo Jaya Konstruksi Manpower Service</t>
  </si>
  <si>
    <t>Survey, Ass Survey</t>
  </si>
  <si>
    <t>SPV, SPV SCF</t>
  </si>
  <si>
    <t>QC Field, ADM QC</t>
  </si>
  <si>
    <t>Warehouse, ADM Project</t>
  </si>
  <si>
    <t>Fitter, Skill, Welder</t>
  </si>
  <si>
    <t>Team Electrical M&amp;E, Team 5R HSE, Team 5R GA, Night Shift.</t>
  </si>
  <si>
    <t>Day Shift Land 2 (Warehouse)</t>
  </si>
  <si>
    <t>SE</t>
  </si>
  <si>
    <t>HSE Koord, HSE Coordinator, HSE Officer, HSE</t>
  </si>
  <si>
    <t>Surveyor, Ass Surveyor, Survey</t>
  </si>
  <si>
    <t>QC, QC Checker</t>
  </si>
  <si>
    <t>Insp Scaff, Inspector Scaffolder, Scaffolder</t>
  </si>
  <si>
    <t>Rigger, Fitter</t>
  </si>
  <si>
    <t>Admin, Matkon, Material Control</t>
  </si>
  <si>
    <t>PM, SM</t>
  </si>
  <si>
    <t>Busbar, Teknisi, Wiring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</si>
</sst>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4" fontId="4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0" fillId="0" borderId="3" xfId="0" applyBorder="1" applyAlignment="1">
      <alignment horizontal="centerContinuous"/>
    </xf>
    <xf numFmtId="0" fontId="1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6"/>
  <sheetViews>
    <sheetView showGridLines="0" tabSelected="1" workbookViewId="0">
      <pane xSplit="1" ySplit="12" topLeftCell="B13" activePane="bottomRight" state="frozen"/>
      <selection pane="topRight" activeCell="B1" sqref="B1"/>
      <selection pane="bottomLeft" activeCell="A12" sqref="A12"/>
      <selection pane="bottomRight" activeCell="G36" sqref="G36"/>
    </sheetView>
  </sheetViews>
  <sheetFormatPr defaultColWidth="12.5703125" defaultRowHeight="15.75" customHeight="1"/>
  <cols>
    <col min="1" max="1" width="25" customWidth="1"/>
    <col min="2" max="9" width="22.28515625" customWidth="1"/>
  </cols>
  <sheetData>
    <row r="1" spans="1:9" ht="12.75">
      <c r="A1" s="21" t="s">
        <v>2</v>
      </c>
      <c r="B1" s="22"/>
      <c r="C1" s="23"/>
    </row>
    <row r="2" spans="1:9" ht="12.75">
      <c r="A2" s="13" t="s">
        <v>4</v>
      </c>
      <c r="B2" s="24" t="s">
        <v>5</v>
      </c>
      <c r="C2" s="25"/>
    </row>
    <row r="3" spans="1:9" ht="12.75">
      <c r="A3" s="13" t="s">
        <v>1</v>
      </c>
      <c r="B3" s="24" t="s">
        <v>6</v>
      </c>
      <c r="C3" s="25"/>
    </row>
    <row r="4" spans="1:9" ht="12.75">
      <c r="A4" s="13" t="s">
        <v>7</v>
      </c>
      <c r="B4" s="24" t="s">
        <v>8</v>
      </c>
      <c r="C4" s="25"/>
    </row>
    <row r="5" spans="1:9" ht="12.75">
      <c r="A5" s="13" t="s">
        <v>0</v>
      </c>
      <c r="B5" s="24" t="s">
        <v>9</v>
      </c>
      <c r="C5" s="25"/>
    </row>
    <row r="6" spans="1:9" ht="12.75">
      <c r="A6" s="13" t="s">
        <v>10</v>
      </c>
      <c r="B6" s="24" t="s">
        <v>11</v>
      </c>
      <c r="C6" s="25"/>
    </row>
    <row r="7" spans="1:9" ht="12.75">
      <c r="A7" s="13" t="s">
        <v>12</v>
      </c>
      <c r="B7" s="24" t="s">
        <v>13</v>
      </c>
      <c r="C7" s="25"/>
    </row>
    <row r="8" spans="1:9" ht="12.75">
      <c r="A8" s="13" t="s">
        <v>14</v>
      </c>
      <c r="B8" s="24" t="s">
        <v>15</v>
      </c>
      <c r="C8" s="25"/>
    </row>
    <row r="9" spans="1:9" ht="12.75">
      <c r="A9" s="26" t="s">
        <v>178</v>
      </c>
      <c r="B9" s="27" t="s">
        <v>179</v>
      </c>
      <c r="C9" s="25"/>
    </row>
    <row r="10" spans="1:9" ht="12.75">
      <c r="A10" s="1"/>
      <c r="B10" s="1"/>
    </row>
    <row r="11" spans="1:9" ht="12.75">
      <c r="A11" s="28" t="s">
        <v>126</v>
      </c>
      <c r="B11" s="5"/>
    </row>
    <row r="12" spans="1:9" ht="12.75">
      <c r="A12" s="18" t="s">
        <v>125</v>
      </c>
      <c r="B12" s="18" t="str" cm="1">
        <f t="array" ref="B12:H12">TRANSPOSE(A2:A8)</f>
        <v>WME</v>
      </c>
      <c r="C12" s="19" t="str">
        <v>TPE</v>
      </c>
      <c r="D12" s="20" t="str">
        <v>SILOG</v>
      </c>
      <c r="E12" s="20" t="str">
        <v>DHJ</v>
      </c>
      <c r="F12" s="20" t="str">
        <v xml:space="preserve">WKP </v>
      </c>
      <c r="G12" s="20" t="str">
        <v>BCP</v>
      </c>
      <c r="H12" s="20" t="str">
        <v>TODJO</v>
      </c>
      <c r="I12" s="20" t="s">
        <v>178</v>
      </c>
    </row>
    <row r="13" spans="1:9" ht="12.75">
      <c r="A13" s="13" t="s">
        <v>17</v>
      </c>
      <c r="B13" s="14"/>
      <c r="C13" s="15" t="str">
        <f>TPE!C3</f>
        <v/>
      </c>
      <c r="D13" s="15" t="str">
        <f>IFERROR(_xlfn.XLOOKUP($A13,SILOG!$A$3:$A$17,SILOG!$H$3:$H$17),"")</f>
        <v>PM</v>
      </c>
      <c r="E13" s="15"/>
      <c r="F13" s="15"/>
      <c r="G13" s="15"/>
      <c r="H13" s="15"/>
      <c r="I13" s="12"/>
    </row>
    <row r="14" spans="1:9" ht="12.75">
      <c r="A14" s="13" t="s">
        <v>21</v>
      </c>
      <c r="B14" s="14"/>
      <c r="C14" s="15" t="str">
        <f>TPE!C4</f>
        <v/>
      </c>
      <c r="D14" s="15" t="str">
        <f>IFERROR(_xlfn.XLOOKUP($A14,SILOG!$A$3:$A$17,SILOG!$H$3:$H$17),"")</f>
        <v>DPM</v>
      </c>
      <c r="E14" s="15"/>
      <c r="F14" s="15"/>
      <c r="G14" s="15"/>
      <c r="H14" s="15"/>
      <c r="I14" s="12"/>
    </row>
    <row r="15" spans="1:9" ht="12.75">
      <c r="A15" s="13" t="s">
        <v>26</v>
      </c>
      <c r="B15" s="14" t="s">
        <v>19</v>
      </c>
      <c r="C15" s="15" t="str">
        <f>TPE!C5</f>
        <v>SM</v>
      </c>
      <c r="D15" s="15" t="str">
        <f>IFERROR(_xlfn.XLOOKUP($A15,SILOG!$A$3:$A$17,SILOG!$H$3:$H$17),"")</f>
        <v>CM</v>
      </c>
      <c r="E15" s="15" t="s">
        <v>22</v>
      </c>
      <c r="F15" s="16" t="s">
        <v>151</v>
      </c>
      <c r="G15" s="16" t="s">
        <v>194</v>
      </c>
      <c r="H15" s="16" t="s">
        <v>151</v>
      </c>
      <c r="I15" s="12"/>
    </row>
    <row r="16" spans="1:9" ht="12.75">
      <c r="A16" s="13" t="s">
        <v>37</v>
      </c>
      <c r="B16" s="14"/>
      <c r="C16" s="15" t="str">
        <f>TPE!C6</f>
        <v/>
      </c>
      <c r="D16" s="15" t="str">
        <f>IFERROR(_xlfn.XLOOKUP($A16,SILOG!$A$3:$A$17,SILOG!$H$3:$H$17),"")</f>
        <v>DCM</v>
      </c>
      <c r="E16" s="15"/>
      <c r="F16" s="15"/>
      <c r="G16" s="15"/>
      <c r="H16" s="15"/>
      <c r="I16" s="12"/>
    </row>
    <row r="17" spans="1:9" ht="25.5">
      <c r="A17" s="13" t="s">
        <v>31</v>
      </c>
      <c r="B17" s="14" t="s">
        <v>118</v>
      </c>
      <c r="C17" s="15" t="str">
        <f>TPE!C7</f>
        <v>Engineer, PPC</v>
      </c>
      <c r="D17" s="15" t="str">
        <f>IFERROR(_xlfn.XLOOKUP($A17,SILOG!$A$3:$A$17,SILOG!$H$3:$H$17),"")</f>
        <v>SM, SE, Engineer, PC, PPC, Rigging Eng</v>
      </c>
      <c r="E17" s="16" t="s">
        <v>146</v>
      </c>
      <c r="F17" s="15"/>
      <c r="G17" s="15"/>
      <c r="H17" s="16" t="s">
        <v>187</v>
      </c>
      <c r="I17" s="12"/>
    </row>
    <row r="18" spans="1:9" ht="12.75">
      <c r="A18" s="13" t="s">
        <v>48</v>
      </c>
      <c r="B18" s="14"/>
      <c r="C18" s="15" t="str">
        <f>TPE!C8</f>
        <v/>
      </c>
      <c r="D18" s="15" t="str">
        <f>IFERROR(_xlfn.XLOOKUP($A18,SILOG!$A$3:$A$17,SILOG!$H$3:$H$17),"")</f>
        <v/>
      </c>
      <c r="E18" s="15"/>
      <c r="F18" s="15"/>
      <c r="G18" s="15"/>
      <c r="H18" s="15"/>
      <c r="I18" s="12"/>
    </row>
    <row r="19" spans="1:9" ht="51">
      <c r="A19" s="13" t="s">
        <v>52</v>
      </c>
      <c r="B19" s="14" t="s">
        <v>119</v>
      </c>
      <c r="C19" s="15" t="str">
        <f>TPE!C9</f>
        <v>HSE</v>
      </c>
      <c r="D19" s="15" t="str">
        <f>IFERROR(_xlfn.XLOOKUP($A19,SILOG!$A$3:$A$17,SILOG!$H$3:$H$17),"")</f>
        <v>semua HSE (koordinator dan tiap lokasi). HSE Manager hanya bila tertulis "HSE Manager"</v>
      </c>
      <c r="E19" s="16" t="s">
        <v>147</v>
      </c>
      <c r="F19" s="16" t="s">
        <v>33</v>
      </c>
      <c r="G19" s="16" t="s">
        <v>33</v>
      </c>
      <c r="H19" s="16" t="s">
        <v>188</v>
      </c>
      <c r="I19" s="12"/>
    </row>
    <row r="20" spans="1:9" ht="12.75">
      <c r="A20" s="13" t="s">
        <v>58</v>
      </c>
      <c r="B20" s="14"/>
      <c r="C20" s="15" t="str">
        <f>TPE!C10</f>
        <v/>
      </c>
      <c r="D20" s="15" t="str">
        <f>IFERROR(_xlfn.XLOOKUP($A20,SILOG!$A$3:$A$17,SILOG!$H$3:$H$17),"")</f>
        <v/>
      </c>
      <c r="E20" s="15"/>
      <c r="F20" s="15"/>
      <c r="G20" s="15"/>
      <c r="H20" s="15"/>
      <c r="I20" s="12"/>
    </row>
    <row r="21" spans="1:9" ht="38.25">
      <c r="A21" s="13" t="s">
        <v>41</v>
      </c>
      <c r="B21" s="14" t="s">
        <v>110</v>
      </c>
      <c r="C21" s="15" t="str">
        <f>TPE!C11</f>
        <v>SURVEYOR</v>
      </c>
      <c r="D21" s="15" t="str">
        <f>IFERROR(_xlfn.XLOOKUP($A21,SILOG!$A$3:$A$17,SILOG!$H$3:$H$17),"")</f>
        <v>Surveyor, Team Surveyor (SPV Survey masuk Supervisor)</v>
      </c>
      <c r="E21" s="16" t="s">
        <v>41</v>
      </c>
      <c r="F21" s="16" t="s">
        <v>180</v>
      </c>
      <c r="G21" s="15"/>
      <c r="H21" s="16" t="s">
        <v>189</v>
      </c>
      <c r="I21" s="12"/>
    </row>
    <row r="22" spans="1:9" ht="12.75">
      <c r="A22" s="13" t="s">
        <v>69</v>
      </c>
      <c r="B22" s="14"/>
      <c r="C22" s="15" t="str">
        <f>TPE!C12</f>
        <v/>
      </c>
      <c r="D22" s="15" t="str">
        <f>IFERROR(_xlfn.XLOOKUP($A22,SILOG!$A$3:$A$17,SILOG!$H$3:$H$17),"")</f>
        <v/>
      </c>
      <c r="E22" s="15"/>
      <c r="F22" s="15"/>
      <c r="G22" s="15"/>
      <c r="H22" s="15"/>
      <c r="I22" s="12"/>
    </row>
    <row r="23" spans="1:9" ht="12.75">
      <c r="A23" s="13" t="s">
        <v>74</v>
      </c>
      <c r="B23" s="14"/>
      <c r="C23" s="15" t="str">
        <f>TPE!C13</f>
        <v/>
      </c>
      <c r="D23" s="15" t="str">
        <f>IFERROR(_xlfn.XLOOKUP($A23,SILOG!$A$3:$A$17,SILOG!$H$3:$H$17),"")</f>
        <v/>
      </c>
      <c r="E23" s="15"/>
      <c r="F23" s="15"/>
      <c r="G23" s="15"/>
      <c r="H23" s="15"/>
      <c r="I23" s="12"/>
    </row>
    <row r="24" spans="1:9" ht="25.5">
      <c r="A24" s="13" t="s">
        <v>76</v>
      </c>
      <c r="B24" s="14" t="s">
        <v>120</v>
      </c>
      <c r="C24" s="15" t="str">
        <f>TPE!C14</f>
        <v>QC</v>
      </c>
      <c r="D24" s="15" t="str">
        <f>IFERROR(_xlfn.XLOOKUP($A24,SILOG!$A$3:$A$17,SILOG!$H$3:$H$17),"")</f>
        <v>QC, QA, anggota Team QC</v>
      </c>
      <c r="E24" s="16" t="s">
        <v>36</v>
      </c>
      <c r="F24" s="16" t="s">
        <v>182</v>
      </c>
      <c r="G24" s="16" t="s">
        <v>36</v>
      </c>
      <c r="H24" s="16" t="s">
        <v>190</v>
      </c>
      <c r="I24" s="12"/>
    </row>
    <row r="25" spans="1:9" ht="12.75">
      <c r="A25" s="13" t="s">
        <v>79</v>
      </c>
      <c r="B25" s="14"/>
      <c r="C25" s="15"/>
      <c r="D25" s="15" t="str">
        <f>IFERROR(_xlfn.XLOOKUP($A25,SILOG!$A$3:$A$17,SILOG!$H$3:$H$17),"")</f>
        <v/>
      </c>
      <c r="E25" s="15"/>
      <c r="F25" s="15"/>
      <c r="G25" s="15"/>
      <c r="H25" s="15"/>
      <c r="I25" s="12"/>
    </row>
    <row r="26" spans="1:9" ht="51">
      <c r="A26" s="13" t="s">
        <v>43</v>
      </c>
      <c r="B26" s="14" t="s">
        <v>121</v>
      </c>
      <c r="C26" s="15" t="str">
        <f>TPE!C18</f>
        <v>SPV Scaff, SPV Rigg, SPV Mech, SPV Survey</v>
      </c>
      <c r="D26" s="15" t="str">
        <f>IFERROR(_xlfn.XLOOKUP($A26,SILOG!$A$3:$A$17,SILOG!$H$3:$H$17),"")</f>
        <v>semua SPV</v>
      </c>
      <c r="E26" s="15" t="s">
        <v>145</v>
      </c>
      <c r="F26" s="16" t="s">
        <v>181</v>
      </c>
      <c r="G26" s="15"/>
      <c r="H26" s="15"/>
      <c r="I26" s="15" t="s">
        <v>70</v>
      </c>
    </row>
    <row r="27" spans="1:9" ht="51">
      <c r="A27" s="13" t="s">
        <v>47</v>
      </c>
      <c r="B27" s="14" t="s">
        <v>83</v>
      </c>
      <c r="C27" s="15" t="str">
        <f>TPE!C19</f>
        <v>FM ELEC, FM FT, FM MW</v>
      </c>
      <c r="D27" s="15" t="str">
        <f>IFERROR(_xlfn.XLOOKUP($A27,SILOG!$A$3:$A$17,SILOG!$H$3:$H$17),"")</f>
        <v>Foreman, Foremen, FM, SI itu Subcontractor Independen atau Foreman, Mandor</v>
      </c>
      <c r="E27" s="15"/>
      <c r="F27" s="15"/>
      <c r="G27" s="15"/>
      <c r="H27" s="16" t="s">
        <v>47</v>
      </c>
      <c r="I27" s="12"/>
    </row>
    <row r="28" spans="1:9" ht="12.75">
      <c r="A28" s="13" t="s">
        <v>87</v>
      </c>
      <c r="B28" s="14"/>
      <c r="C28" s="15" t="str">
        <f>TPE!C20</f>
        <v/>
      </c>
      <c r="D28" s="15" t="str">
        <f>IFERROR(_xlfn.XLOOKUP($A28,SILOG!$A$3:$A$17,SILOG!$H$3:$H$17),"")</f>
        <v/>
      </c>
      <c r="E28" s="15"/>
      <c r="F28" s="15"/>
      <c r="G28" s="15"/>
      <c r="H28" s="15"/>
      <c r="I28" s="12"/>
    </row>
    <row r="29" spans="1:9" ht="12.75">
      <c r="A29" s="13" t="s">
        <v>88</v>
      </c>
      <c r="B29" s="14"/>
      <c r="C29" s="15" t="str">
        <f>TPE!C21</f>
        <v/>
      </c>
      <c r="D29" s="15" t="str">
        <f>IFERROR(_xlfn.XLOOKUP($A29,SILOG!$A$3:$A$17,SILOG!$H$3:$H$17),"")</f>
        <v/>
      </c>
      <c r="E29" s="15"/>
      <c r="F29" s="15"/>
      <c r="G29" s="15"/>
      <c r="H29" s="15"/>
      <c r="I29" s="12"/>
    </row>
    <row r="30" spans="1:9" ht="12.75">
      <c r="A30" s="13" t="s">
        <v>90</v>
      </c>
      <c r="B30" s="14"/>
      <c r="C30" s="15" t="str">
        <f>TPE!C22</f>
        <v/>
      </c>
      <c r="D30" s="15" t="str">
        <f>IFERROR(_xlfn.XLOOKUP($A30,SILOG!$A$3:$A$17,SILOG!$H$3:$H$17),"")</f>
        <v/>
      </c>
      <c r="E30" s="15"/>
      <c r="F30" s="15"/>
      <c r="G30" s="15"/>
      <c r="H30" s="15"/>
      <c r="I30" s="12"/>
    </row>
    <row r="31" spans="1:9" ht="51">
      <c r="A31" s="13" t="s">
        <v>50</v>
      </c>
      <c r="B31" s="14" t="s">
        <v>50</v>
      </c>
      <c r="C31" s="15" t="str">
        <f>TPE!C23</f>
        <v>FM SCAFFOLDER, SCAFFOLDER</v>
      </c>
      <c r="D31" s="15" t="str">
        <f>IFERROR(_xlfn.XLOOKUP($A31,SILOG!$A$3:$A$17,SILOG!$H$3:$H$17),"")</f>
        <v>Inspector Scaffolding, Scaffolder, anggota Team Scaffolder tanpa role</v>
      </c>
      <c r="E31" s="16" t="s">
        <v>148</v>
      </c>
      <c r="F31" s="16" t="s">
        <v>50</v>
      </c>
      <c r="G31" s="15"/>
      <c r="H31" s="16" t="s">
        <v>191</v>
      </c>
      <c r="I31" s="12"/>
    </row>
    <row r="32" spans="1:9" ht="38.25">
      <c r="A32" s="13" t="s">
        <v>104</v>
      </c>
      <c r="B32" s="14" t="s">
        <v>122</v>
      </c>
      <c r="C32" s="15" t="str">
        <f>TPE!C24</f>
        <v>Worker, Fitter, RIGGER, MILLRIGHT, ELECTRIC, Welder</v>
      </c>
      <c r="D32" s="15" t="str">
        <f>IFERROR(_xlfn.XLOOKUP($A32,SILOG!$A$3:$A$17,SILOG!$H$3:$H$17),"")</f>
        <v>Teknisi, Rigger, Welder, Skill, Helper, Fitter</v>
      </c>
      <c r="E32" s="16" t="s">
        <v>149</v>
      </c>
      <c r="F32" s="16" t="s">
        <v>184</v>
      </c>
      <c r="G32" s="15"/>
      <c r="H32" s="16" t="s">
        <v>192</v>
      </c>
      <c r="I32" s="12"/>
    </row>
    <row r="33" spans="1:9" ht="51">
      <c r="A33" s="13" t="s">
        <v>106</v>
      </c>
      <c r="B33" s="14" t="s">
        <v>123</v>
      </c>
      <c r="C33" s="15" t="str">
        <f>TPE!C25</f>
        <v>WAREHOUSE, HELPER MECH, HELPER SCAFF, HOLE WATCHER</v>
      </c>
      <c r="D33" s="15" t="str">
        <f>IFERROR(_xlfn.XLOOKUP($A33,SILOG!$A$3:$A$17,SILOG!$H$3:$H$17),"")</f>
        <v>Helper/anggota lokasi Warehouse</v>
      </c>
      <c r="E33" s="16" t="s">
        <v>113</v>
      </c>
      <c r="F33" s="16" t="s">
        <v>113</v>
      </c>
      <c r="G33" s="15"/>
      <c r="H33" s="16" t="s">
        <v>113</v>
      </c>
      <c r="I33" s="12"/>
    </row>
    <row r="34" spans="1:9" ht="12.75">
      <c r="A34" s="13" t="s">
        <v>93</v>
      </c>
      <c r="B34" s="14"/>
      <c r="C34" s="15" t="str">
        <f>TPE!C26</f>
        <v/>
      </c>
      <c r="D34" s="15" t="str">
        <f>IFERROR(_xlfn.XLOOKUP($A34,SILOG!$A$3:$A$17,SILOG!$H$3:$H$17),"")</f>
        <v/>
      </c>
      <c r="E34" s="15"/>
      <c r="F34" s="15"/>
      <c r="G34" s="15"/>
      <c r="H34" s="15"/>
      <c r="I34" s="12"/>
    </row>
    <row r="35" spans="1:9" ht="38.25">
      <c r="A35" s="13" t="s">
        <v>59</v>
      </c>
      <c r="B35" s="14" t="s">
        <v>124</v>
      </c>
      <c r="C35" s="15" t="str">
        <f>TPE!C27</f>
        <v>HRD, SDCC, Driver, Admin</v>
      </c>
      <c r="D35" s="15" t="str">
        <f>IFERROR(_xlfn.XLOOKUP($A35,SILOG!$A$3:$A$17,SILOG!$H$3:$H$17),"")</f>
        <v>Admin, DOCON, Matecon / Matkon (material control)</v>
      </c>
      <c r="E35" s="16" t="s">
        <v>150</v>
      </c>
      <c r="F35" s="16" t="s">
        <v>183</v>
      </c>
      <c r="G35" s="16" t="s">
        <v>195</v>
      </c>
      <c r="H35" s="16" t="s">
        <v>193</v>
      </c>
      <c r="I35" s="12"/>
    </row>
    <row r="36" spans="1:9" ht="25.5">
      <c r="A36" s="13" t="s">
        <v>96</v>
      </c>
      <c r="B36" s="14" t="s">
        <v>63</v>
      </c>
      <c r="C36" s="15" t="str">
        <f>TPE!C28</f>
        <v>OPR CRANE, OPR TMC</v>
      </c>
      <c r="D36" s="15" t="str">
        <f>IFERROR(_xlfn.XLOOKUP($A36,SILOG!$A$3:$A$17,SILOG!$H$3:$H$17),"")</f>
        <v>Operator Crane, Operator TMC</v>
      </c>
      <c r="E36" s="15"/>
      <c r="F36" s="15"/>
      <c r="G36" s="15"/>
      <c r="H36" s="16" t="s">
        <v>63</v>
      </c>
      <c r="I36" s="12"/>
    </row>
    <row r="37" spans="1:9" ht="38.25">
      <c r="A37" s="13" t="s">
        <v>73</v>
      </c>
      <c r="B37" s="17"/>
      <c r="C37" s="12"/>
      <c r="D37" s="12"/>
      <c r="E37" s="12"/>
      <c r="F37" s="12"/>
      <c r="G37" s="12"/>
      <c r="H37" s="12"/>
      <c r="I37" s="16" t="s">
        <v>185</v>
      </c>
    </row>
    <row r="38" spans="1:9" ht="15.75" customHeight="1">
      <c r="A38" s="13" t="s">
        <v>75</v>
      </c>
      <c r="B38" s="17"/>
      <c r="C38" s="12"/>
      <c r="D38" s="12"/>
      <c r="E38" s="12"/>
      <c r="F38" s="12"/>
      <c r="G38" s="12"/>
      <c r="H38" s="12"/>
      <c r="I38" s="16" t="s">
        <v>186</v>
      </c>
    </row>
    <row r="39" spans="1:9" ht="12.75">
      <c r="A39" s="1"/>
      <c r="B39" s="1"/>
    </row>
    <row r="40" spans="1:9" ht="12.75">
      <c r="A40" s="1"/>
      <c r="B40" s="1"/>
    </row>
    <row r="41" spans="1:9" ht="12.75">
      <c r="A41" s="1"/>
      <c r="B41" s="1"/>
    </row>
    <row r="42" spans="1:9" ht="12.75">
      <c r="A42" s="1"/>
      <c r="B42" s="1"/>
    </row>
    <row r="43" spans="1:9" ht="12.75">
      <c r="A43" s="1"/>
      <c r="B43" s="1"/>
    </row>
    <row r="44" spans="1:9" ht="12.75">
      <c r="A44" s="1"/>
      <c r="B44" s="1"/>
    </row>
    <row r="45" spans="1:9" ht="12.75">
      <c r="A45" s="1"/>
      <c r="B45" s="1"/>
    </row>
    <row r="46" spans="1:9" ht="12.75">
      <c r="A46" s="1"/>
      <c r="B46" s="1"/>
    </row>
    <row r="47" spans="1:9" ht="12.75">
      <c r="A47" s="1"/>
      <c r="B47" s="1"/>
    </row>
    <row r="48" spans="1:9" ht="12.75">
      <c r="A48" s="1"/>
      <c r="B48" s="1"/>
    </row>
    <row r="49" spans="1:2" ht="12.75">
      <c r="A49" s="1"/>
      <c r="B49" s="1"/>
    </row>
    <row r="50" spans="1:2" ht="12.75">
      <c r="A50" s="1"/>
      <c r="B50" s="1"/>
    </row>
    <row r="51" spans="1:2" ht="12.75">
      <c r="A51" s="1"/>
      <c r="B51" s="1"/>
    </row>
    <row r="52" spans="1:2" ht="12.75">
      <c r="A52" s="1"/>
      <c r="B52" s="1"/>
    </row>
    <row r="53" spans="1:2" ht="12.75">
      <c r="A53" s="1"/>
      <c r="B53" s="1"/>
    </row>
    <row r="54" spans="1:2" ht="12.75">
      <c r="A54" s="1"/>
      <c r="B54" s="1"/>
    </row>
    <row r="55" spans="1:2" ht="12.75">
      <c r="A55" s="1"/>
      <c r="B55" s="1"/>
    </row>
    <row r="56" spans="1:2" ht="12.75">
      <c r="A56" s="1"/>
      <c r="B56" s="1"/>
    </row>
    <row r="57" spans="1:2" ht="12.75">
      <c r="A57" s="1"/>
      <c r="B57" s="1"/>
    </row>
    <row r="58" spans="1:2" ht="12.75">
      <c r="A58" s="1"/>
      <c r="B58" s="1"/>
    </row>
    <row r="59" spans="1:2" ht="12.75">
      <c r="A59" s="1"/>
      <c r="B59" s="1"/>
    </row>
    <row r="63" spans="1:2" ht="12.75">
      <c r="A63" s="1"/>
      <c r="B63" s="1"/>
    </row>
    <row r="64" spans="1:2" ht="12.75">
      <c r="A64" s="1"/>
      <c r="B64" s="1"/>
    </row>
    <row r="65" spans="1:2" ht="12.75">
      <c r="A65" s="1"/>
      <c r="B65" s="1"/>
    </row>
    <row r="66" spans="1:2" ht="12.75">
      <c r="A66" s="1"/>
      <c r="B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0"/>
  <sheetViews>
    <sheetView workbookViewId="0"/>
  </sheetViews>
  <sheetFormatPr defaultColWidth="12.5703125" defaultRowHeight="15.75" customHeight="1"/>
  <cols>
    <col min="1" max="1" width="23.7109375" customWidth="1"/>
  </cols>
  <sheetData>
    <row r="1" spans="1:11">
      <c r="A1" s="1" t="s">
        <v>0</v>
      </c>
      <c r="B1" s="1" t="s">
        <v>3</v>
      </c>
      <c r="C1" s="2">
        <v>46284</v>
      </c>
      <c r="D1" s="2">
        <f t="shared" ref="D1:F1" si="0">C1+1</f>
        <v>46285</v>
      </c>
      <c r="E1" s="2">
        <f t="shared" si="0"/>
        <v>46286</v>
      </c>
      <c r="F1" s="2">
        <f t="shared" si="0"/>
        <v>46287</v>
      </c>
    </row>
    <row r="2" spans="1:11">
      <c r="A2" s="1" t="s">
        <v>16</v>
      </c>
    </row>
    <row r="3" spans="1:11">
      <c r="A3" s="1" t="s">
        <v>17</v>
      </c>
      <c r="B3" s="1" t="s">
        <v>22</v>
      </c>
      <c r="E3" s="1"/>
      <c r="F3" s="1">
        <v>1</v>
      </c>
      <c r="K3" s="1" t="s">
        <v>17</v>
      </c>
    </row>
    <row r="4" spans="1:11">
      <c r="A4" s="1" t="s">
        <v>21</v>
      </c>
      <c r="B4" s="1" t="s">
        <v>25</v>
      </c>
      <c r="E4" s="1"/>
      <c r="F4" s="1"/>
      <c r="K4" s="1" t="s">
        <v>21</v>
      </c>
    </row>
    <row r="5" spans="1:11">
      <c r="A5" s="1" t="s">
        <v>26</v>
      </c>
      <c r="B5" s="1" t="s">
        <v>27</v>
      </c>
      <c r="E5" s="1"/>
      <c r="F5" s="1"/>
      <c r="K5" s="1" t="s">
        <v>26</v>
      </c>
    </row>
    <row r="6" spans="1:11">
      <c r="A6" s="1" t="s">
        <v>37</v>
      </c>
      <c r="B6" s="1" t="s">
        <v>29</v>
      </c>
      <c r="E6" s="1"/>
      <c r="F6" s="1"/>
      <c r="K6" s="1" t="s">
        <v>37</v>
      </c>
    </row>
    <row r="7" spans="1:11">
      <c r="A7" s="1" t="s">
        <v>31</v>
      </c>
      <c r="B7" s="1" t="s">
        <v>32</v>
      </c>
      <c r="C7" s="1">
        <v>1</v>
      </c>
      <c r="E7" s="1">
        <v>1</v>
      </c>
      <c r="F7" s="1">
        <v>1</v>
      </c>
      <c r="K7" s="1" t="s">
        <v>31</v>
      </c>
    </row>
    <row r="8" spans="1:11">
      <c r="A8" s="1" t="s">
        <v>48</v>
      </c>
      <c r="B8" s="1"/>
      <c r="C8" s="1"/>
      <c r="E8" s="1"/>
      <c r="F8" s="1"/>
      <c r="K8" s="1" t="s">
        <v>48</v>
      </c>
    </row>
    <row r="9" spans="1:11">
      <c r="A9" s="1" t="s">
        <v>52</v>
      </c>
      <c r="B9" s="1" t="s">
        <v>35</v>
      </c>
      <c r="C9" s="1">
        <v>1</v>
      </c>
      <c r="E9" s="1">
        <v>1</v>
      </c>
      <c r="F9" s="1">
        <v>1</v>
      </c>
      <c r="K9" s="1" t="s">
        <v>52</v>
      </c>
    </row>
    <row r="10" spans="1:11">
      <c r="A10" s="1" t="s">
        <v>65</v>
      </c>
      <c r="B10" s="1"/>
      <c r="C10" s="1"/>
      <c r="E10" s="1"/>
      <c r="F10" s="1"/>
      <c r="K10" s="1" t="s">
        <v>58</v>
      </c>
    </row>
    <row r="11" spans="1:11">
      <c r="A11" s="1" t="s">
        <v>41</v>
      </c>
      <c r="B11" s="1" t="s">
        <v>42</v>
      </c>
      <c r="C11" s="1">
        <v>1</v>
      </c>
      <c r="E11" s="1">
        <v>1</v>
      </c>
      <c r="F11" s="1">
        <v>1</v>
      </c>
      <c r="K11" s="1" t="s">
        <v>41</v>
      </c>
    </row>
    <row r="12" spans="1:11">
      <c r="A12" s="1" t="s">
        <v>69</v>
      </c>
      <c r="K12" s="1" t="s">
        <v>69</v>
      </c>
    </row>
    <row r="13" spans="1:11">
      <c r="A13" s="1" t="s">
        <v>74</v>
      </c>
      <c r="K13" s="1" t="s">
        <v>74</v>
      </c>
    </row>
    <row r="14" spans="1:11">
      <c r="A14" s="1" t="s">
        <v>76</v>
      </c>
      <c r="B14" s="1" t="s">
        <v>38</v>
      </c>
      <c r="C14" s="1">
        <v>2</v>
      </c>
      <c r="E14" s="1">
        <v>2</v>
      </c>
      <c r="F14" s="1">
        <v>2</v>
      </c>
      <c r="K14" s="1" t="s">
        <v>76</v>
      </c>
    </row>
    <row r="15" spans="1:11">
      <c r="A15" s="1" t="s">
        <v>79</v>
      </c>
      <c r="B15" s="1"/>
      <c r="E15" s="1"/>
      <c r="F15" s="1"/>
      <c r="K15" s="1" t="s">
        <v>79</v>
      </c>
    </row>
    <row r="16" spans="1:11">
      <c r="A16" s="1" t="s">
        <v>80</v>
      </c>
      <c r="B16" s="1"/>
      <c r="E16" s="1"/>
      <c r="F16" s="1"/>
      <c r="K16" s="1" t="s">
        <v>80</v>
      </c>
    </row>
    <row r="17" spans="1:11">
      <c r="A17" s="1" t="s">
        <v>82</v>
      </c>
      <c r="B17" s="1"/>
      <c r="E17" s="1"/>
      <c r="F17" s="1"/>
      <c r="K17" s="1" t="s">
        <v>82</v>
      </c>
    </row>
    <row r="18" spans="1:11">
      <c r="A18" s="1" t="s">
        <v>43</v>
      </c>
      <c r="B18" s="1" t="s">
        <v>45</v>
      </c>
      <c r="E18" s="1">
        <v>1</v>
      </c>
      <c r="F18" s="1">
        <v>2</v>
      </c>
      <c r="K18" s="1" t="s">
        <v>43</v>
      </c>
    </row>
    <row r="19" spans="1:11">
      <c r="A19" s="1" t="s">
        <v>47</v>
      </c>
      <c r="B19" s="1" t="s">
        <v>47</v>
      </c>
      <c r="E19" s="1"/>
      <c r="F19" s="1"/>
      <c r="K19" s="1" t="s">
        <v>47</v>
      </c>
    </row>
    <row r="20" spans="1:11">
      <c r="A20" s="1" t="s">
        <v>87</v>
      </c>
      <c r="B20" s="1"/>
      <c r="C20" s="1"/>
      <c r="E20" s="1"/>
      <c r="F20" s="1"/>
      <c r="K20" s="1" t="s">
        <v>87</v>
      </c>
    </row>
    <row r="21" spans="1:11">
      <c r="A21" s="1" t="s">
        <v>88</v>
      </c>
      <c r="B21" s="1"/>
      <c r="C21" s="1"/>
      <c r="E21" s="1"/>
      <c r="F21" s="1"/>
      <c r="K21" s="1" t="s">
        <v>88</v>
      </c>
    </row>
    <row r="22" spans="1:11">
      <c r="A22" s="1" t="s">
        <v>90</v>
      </c>
      <c r="B22" s="1"/>
      <c r="C22" s="1"/>
      <c r="E22" s="1"/>
      <c r="F22" s="1"/>
      <c r="K22" s="1" t="s">
        <v>90</v>
      </c>
    </row>
    <row r="23" spans="1:11">
      <c r="A23" s="1" t="s">
        <v>50</v>
      </c>
      <c r="B23" s="1" t="s">
        <v>51</v>
      </c>
      <c r="C23" s="1">
        <v>4</v>
      </c>
      <c r="E23" s="1">
        <v>3</v>
      </c>
      <c r="F23" s="1">
        <v>3</v>
      </c>
      <c r="K23" s="1" t="s">
        <v>50</v>
      </c>
    </row>
    <row r="24" spans="1:11">
      <c r="A24" s="1" t="s">
        <v>53</v>
      </c>
      <c r="B24" s="1" t="s">
        <v>54</v>
      </c>
      <c r="C24" s="1">
        <v>9</v>
      </c>
      <c r="E24" s="1">
        <v>8</v>
      </c>
      <c r="F24" s="1">
        <v>11</v>
      </c>
      <c r="K24" s="1" t="s">
        <v>104</v>
      </c>
    </row>
    <row r="25" spans="1:11">
      <c r="A25" s="1" t="s">
        <v>55</v>
      </c>
      <c r="B25" s="1" t="s">
        <v>56</v>
      </c>
      <c r="C25" s="1">
        <v>5</v>
      </c>
      <c r="E25" s="1">
        <v>5</v>
      </c>
      <c r="F25" s="1">
        <v>5</v>
      </c>
      <c r="K25" s="1" t="s">
        <v>106</v>
      </c>
    </row>
    <row r="26" spans="1:11">
      <c r="A26" s="1" t="s">
        <v>93</v>
      </c>
      <c r="B26" s="1"/>
      <c r="E26" s="1"/>
      <c r="F26" s="1"/>
      <c r="K26" s="1" t="s">
        <v>93</v>
      </c>
    </row>
    <row r="27" spans="1:11">
      <c r="A27" s="1" t="s">
        <v>59</v>
      </c>
      <c r="B27" s="1" t="s">
        <v>61</v>
      </c>
      <c r="E27" s="1"/>
      <c r="F27" s="1"/>
      <c r="K27" s="1" t="s">
        <v>59</v>
      </c>
    </row>
    <row r="28" spans="1:11">
      <c r="A28" s="1" t="s">
        <v>96</v>
      </c>
      <c r="B28" s="1" t="s">
        <v>64</v>
      </c>
      <c r="E28" s="1"/>
      <c r="F28" s="1"/>
      <c r="K28" s="1" t="s">
        <v>96</v>
      </c>
    </row>
    <row r="30" spans="1:11">
      <c r="A30" s="1" t="s">
        <v>98</v>
      </c>
      <c r="C30" s="1">
        <f>SUM(C3:C28)</f>
        <v>23</v>
      </c>
      <c r="E30" s="1">
        <f t="shared" ref="E30:F30" si="1">SUM(E3:E28)</f>
        <v>22</v>
      </c>
      <c r="F30" s="1">
        <f t="shared" si="1"/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33"/>
  <sheetViews>
    <sheetView workbookViewId="0"/>
  </sheetViews>
  <sheetFormatPr defaultColWidth="12.5703125" defaultRowHeight="15.75" customHeight="1"/>
  <cols>
    <col min="1" max="1" width="26" customWidth="1"/>
  </cols>
  <sheetData>
    <row r="1" spans="1:9" ht="12.75">
      <c r="A1" s="1" t="s">
        <v>1</v>
      </c>
      <c r="B1" s="1" t="s">
        <v>3</v>
      </c>
      <c r="C1" s="2"/>
      <c r="D1" s="2">
        <f t="shared" ref="D1:F1" si="0">C1+1</f>
        <v>1</v>
      </c>
      <c r="E1" s="2">
        <f t="shared" si="0"/>
        <v>2</v>
      </c>
      <c r="F1" s="2">
        <f t="shared" si="0"/>
        <v>3</v>
      </c>
    </row>
    <row r="2" spans="1:9" ht="12.75">
      <c r="A2" s="1" t="s">
        <v>16</v>
      </c>
    </row>
    <row r="3" spans="1:9" ht="12.75">
      <c r="A3" s="1" t="s">
        <v>17</v>
      </c>
      <c r="B3" s="1"/>
      <c r="C3" t="str" cm="1">
        <f t="array" ref="C3">IFERROR(_xlfn.TEXTJOIN(", ", TRUE, _xlfn._xlws.FILTER($H$3:$H$33, $I$3:$I$33 = B3)),"")</f>
        <v/>
      </c>
      <c r="G3" t="str" cm="1">
        <f t="array" ref="G3:G14">_xlfn.UNIQUE(I3:I33)</f>
        <v>sm</v>
      </c>
      <c r="H3" t="s">
        <v>151</v>
      </c>
      <c r="I3" s="4" t="s">
        <v>176</v>
      </c>
    </row>
    <row r="4" spans="1:9" ht="12.75">
      <c r="A4" s="1" t="s">
        <v>21</v>
      </c>
      <c r="B4" s="1"/>
      <c r="C4" t="str" cm="1">
        <f t="array" ref="C4">IFERROR(_xlfn.TEXTJOIN(", ", TRUE, _xlfn._xlws.FILTER($H$3:$H$33, $I$3:$I$33 = B4)),"")</f>
        <v/>
      </c>
      <c r="G4" t="str">
        <v>se</v>
      </c>
      <c r="H4" t="s">
        <v>152</v>
      </c>
      <c r="I4" s="4" t="s">
        <v>30</v>
      </c>
    </row>
    <row r="5" spans="1:9" ht="12.75">
      <c r="A5" s="1" t="s">
        <v>26</v>
      </c>
      <c r="B5" s="5" t="s">
        <v>176</v>
      </c>
      <c r="C5" t="str" cm="1">
        <f t="array" ref="C5">IFERROR(_xlfn.TEXTJOIN(", ", TRUE, _xlfn._xlws.FILTER($H$3:$H$33, $I$3:$I$33 = B5)),"")</f>
        <v>SM</v>
      </c>
      <c r="G5" t="str">
        <v>qc</v>
      </c>
      <c r="H5" t="s">
        <v>36</v>
      </c>
      <c r="I5" s="4" t="s">
        <v>57</v>
      </c>
    </row>
    <row r="6" spans="1:9" ht="12.75">
      <c r="A6" s="1" t="s">
        <v>37</v>
      </c>
      <c r="B6" s="1"/>
      <c r="C6" t="str" cm="1">
        <f t="array" ref="C6">IFERROR(_xlfn.TEXTJOIN(", ", TRUE, _xlfn._xlws.FILTER($H$3:$H$33, $I$3:$I$33 = B6)),"")</f>
        <v/>
      </c>
      <c r="G6" t="str">
        <v>spv</v>
      </c>
      <c r="H6" t="s">
        <v>72</v>
      </c>
      <c r="I6" s="4" t="s">
        <v>68</v>
      </c>
    </row>
    <row r="7" spans="1:9" ht="12.75">
      <c r="A7" s="1" t="s">
        <v>31</v>
      </c>
      <c r="B7" s="5" t="s">
        <v>30</v>
      </c>
      <c r="C7" t="str" cm="1">
        <f t="array" ref="C7">IFERROR(_xlfn.TEXTJOIN(", ", TRUE, _xlfn._xlws.FILTER($H$3:$H$33, $I$3:$I$33 = B7)),"")</f>
        <v>Engineer, PPC</v>
      </c>
      <c r="E7" s="1">
        <v>1</v>
      </c>
      <c r="G7" s="4" t="str">
        <v>hse</v>
      </c>
      <c r="H7" t="s">
        <v>153</v>
      </c>
      <c r="I7" s="4" t="s">
        <v>68</v>
      </c>
    </row>
    <row r="8" spans="1:9" ht="12.75">
      <c r="A8" s="1" t="s">
        <v>48</v>
      </c>
      <c r="B8" s="1"/>
      <c r="C8" t="str" cm="1">
        <f t="array" ref="C8">IFERROR(_xlfn.TEXTJOIN(", ", TRUE, _xlfn._xlws.FILTER($H$3:$H$33, $I$3:$I$33 = B8)),"")</f>
        <v/>
      </c>
      <c r="G8" t="str">
        <v>staff</v>
      </c>
      <c r="H8" t="s">
        <v>154</v>
      </c>
      <c r="I8" s="4" t="s">
        <v>68</v>
      </c>
    </row>
    <row r="9" spans="1:9" ht="12.75">
      <c r="A9" s="1" t="s">
        <v>52</v>
      </c>
      <c r="B9" s="5" t="s">
        <v>46</v>
      </c>
      <c r="C9" t="str" cm="1">
        <f t="array" ref="C9">IFERROR(_xlfn.TEXTJOIN(", ", TRUE, _xlfn._xlws.FILTER($H$3:$H$33, $I$3:$I$33 = B9)),"")</f>
        <v>HSE</v>
      </c>
      <c r="E9" s="1">
        <v>4</v>
      </c>
      <c r="G9" t="str">
        <v>skilled</v>
      </c>
      <c r="H9" t="s">
        <v>155</v>
      </c>
      <c r="I9" s="4" t="s">
        <v>68</v>
      </c>
    </row>
    <row r="10" spans="1:9" ht="12.75">
      <c r="A10" s="1" t="s">
        <v>65</v>
      </c>
      <c r="B10" s="1"/>
      <c r="C10" t="str" cm="1">
        <f t="array" ref="C10">IFERROR(_xlfn.TEXTJOIN(", ", TRUE, _xlfn._xlws.FILTER($H$3:$H$33, $I$3:$I$33 = B10)),"")</f>
        <v/>
      </c>
      <c r="G10" t="str">
        <v>scf</v>
      </c>
      <c r="H10" t="s">
        <v>156</v>
      </c>
      <c r="I10" s="4" t="s">
        <v>30</v>
      </c>
    </row>
    <row r="11" spans="1:9" ht="12.75">
      <c r="A11" s="1" t="s">
        <v>41</v>
      </c>
      <c r="B11" s="5" t="s">
        <v>66</v>
      </c>
      <c r="C11" t="str" cm="1">
        <f t="array" ref="C11">IFERROR(_xlfn.TEXTJOIN(", ", TRUE, _xlfn._xlws.FILTER($H$3:$H$33, $I$3:$I$33 = B11)),"")</f>
        <v>SURVEYOR</v>
      </c>
      <c r="E11" s="1">
        <v>4</v>
      </c>
      <c r="G11" t="str">
        <v>svy</v>
      </c>
      <c r="H11" t="s">
        <v>33</v>
      </c>
      <c r="I11" s="4" t="s">
        <v>46</v>
      </c>
    </row>
    <row r="12" spans="1:9" ht="12.75">
      <c r="A12" s="1" t="s">
        <v>69</v>
      </c>
      <c r="C12" t="str" cm="1">
        <f t="array" ref="C12">IFERROR(_xlfn.TEXTJOIN(", ", TRUE, _xlfn._xlws.FILTER($H$3:$H$33, $I$3:$I$33 = B12)),"")</f>
        <v/>
      </c>
      <c r="G12" t="str">
        <v>fore</v>
      </c>
      <c r="H12" t="s">
        <v>157</v>
      </c>
      <c r="I12" s="4" t="s">
        <v>86</v>
      </c>
    </row>
    <row r="13" spans="1:9" ht="12.75">
      <c r="A13" s="1" t="s">
        <v>74</v>
      </c>
      <c r="C13" t="str" cm="1">
        <f t="array" ref="C13">IFERROR(_xlfn.TEXTJOIN(", ", TRUE, _xlfn._xlws.FILTER($H$3:$H$33, $I$3:$I$33 = B13)),"")</f>
        <v/>
      </c>
      <c r="G13" t="str">
        <v>labor</v>
      </c>
      <c r="H13" t="s">
        <v>158</v>
      </c>
      <c r="I13" s="4" t="s">
        <v>86</v>
      </c>
    </row>
    <row r="14" spans="1:9" ht="12.75">
      <c r="A14" s="1" t="s">
        <v>76</v>
      </c>
      <c r="B14" s="5" t="s">
        <v>57</v>
      </c>
      <c r="C14" t="str" cm="1">
        <f t="array" ref="C14">IFERROR(_xlfn.TEXTJOIN(", ", TRUE, _xlfn._xlws.FILTER($H$3:$H$33, $I$3:$I$33 = B14)),"")</f>
        <v>QC</v>
      </c>
      <c r="E14" s="1">
        <v>2</v>
      </c>
      <c r="G14" t="str">
        <v>operator</v>
      </c>
      <c r="H14" t="s">
        <v>97</v>
      </c>
      <c r="I14" s="4" t="s">
        <v>86</v>
      </c>
    </row>
    <row r="15" spans="1:9" ht="12.75">
      <c r="A15" s="1" t="s">
        <v>79</v>
      </c>
      <c r="B15" s="1"/>
      <c r="C15" t="str" cm="1">
        <f t="array" ref="C15">IFERROR(_xlfn.TEXTJOIN(", ", TRUE, _xlfn._xlws.FILTER($H$3:$H$33, $I$3:$I$33 = B15)),"")</f>
        <v/>
      </c>
      <c r="H15" t="s">
        <v>159</v>
      </c>
      <c r="I15" s="4" t="s">
        <v>86</v>
      </c>
    </row>
    <row r="16" spans="1:9" ht="12.75">
      <c r="A16" s="1" t="s">
        <v>80</v>
      </c>
      <c r="B16" s="1"/>
      <c r="C16" t="str" cm="1">
        <f t="array" ref="C16">IFERROR(_xlfn.TEXTJOIN(", ", TRUE, _xlfn._xlws.FILTER($H$3:$H$33, $I$3:$I$33 = B16)),"")</f>
        <v/>
      </c>
      <c r="H16" t="s">
        <v>160</v>
      </c>
      <c r="I16" s="4" t="s">
        <v>103</v>
      </c>
    </row>
    <row r="17" spans="1:9" ht="12.75">
      <c r="A17" s="1" t="s">
        <v>82</v>
      </c>
      <c r="B17" s="1"/>
      <c r="C17" t="str" cm="1">
        <f t="array" ref="C17">IFERROR(_xlfn.TEXTJOIN(", ", TRUE, _xlfn._xlws.FILTER($H$3:$H$33, $I$3:$I$33 = B17)),"")</f>
        <v/>
      </c>
      <c r="H17" t="s">
        <v>102</v>
      </c>
      <c r="I17" s="4" t="s">
        <v>103</v>
      </c>
    </row>
    <row r="18" spans="1:9" ht="12.75">
      <c r="A18" s="1" t="s">
        <v>43</v>
      </c>
      <c r="B18" s="5" t="s">
        <v>68</v>
      </c>
      <c r="C18" t="str" cm="1">
        <f t="array" ref="C18">IFERROR(_xlfn.TEXTJOIN(", ", TRUE, _xlfn._xlws.FILTER($H$3:$H$33, $I$3:$I$33 = B18)),"")</f>
        <v>SPV Scaff, SPV Rigg, SPV Mech, SPV Survey</v>
      </c>
      <c r="E18" s="1">
        <v>2</v>
      </c>
      <c r="H18" t="s">
        <v>161</v>
      </c>
      <c r="I18" s="4" t="s">
        <v>103</v>
      </c>
    </row>
    <row r="19" spans="1:9" ht="12.75">
      <c r="A19" s="1" t="s">
        <v>47</v>
      </c>
      <c r="B19" s="5" t="s">
        <v>84</v>
      </c>
      <c r="C19" t="str" cm="1">
        <f t="array" ref="C19">IFERROR(_xlfn.TEXTJOIN(", ", TRUE, _xlfn._xlws.FILTER($H$3:$H$33, $I$3:$I$33 = B19)),"")</f>
        <v>FM ELEC, FM FT, FM MW</v>
      </c>
      <c r="H19" t="s">
        <v>162</v>
      </c>
      <c r="I19" s="4" t="s">
        <v>177</v>
      </c>
    </row>
    <row r="20" spans="1:9" ht="12.75">
      <c r="A20" s="1" t="s">
        <v>87</v>
      </c>
      <c r="B20" s="1"/>
      <c r="C20" t="str" cm="1">
        <f t="array" ref="C20">IFERROR(_xlfn.TEXTJOIN(", ", TRUE, _xlfn._xlws.FILTER($H$3:$H$33, $I$3:$I$33 = B20)),"")</f>
        <v/>
      </c>
      <c r="H20" t="s">
        <v>163</v>
      </c>
      <c r="I20" s="4" t="s">
        <v>177</v>
      </c>
    </row>
    <row r="21" spans="1:9" ht="12.75">
      <c r="A21" s="1" t="s">
        <v>88</v>
      </c>
      <c r="B21" s="1"/>
      <c r="C21" t="str" cm="1">
        <f t="array" ref="C21">IFERROR(_xlfn.TEXTJOIN(", ", TRUE, _xlfn._xlws.FILTER($H$3:$H$33, $I$3:$I$33 = B21)),"")</f>
        <v/>
      </c>
      <c r="H21" t="s">
        <v>164</v>
      </c>
      <c r="I21" s="4" t="s">
        <v>103</v>
      </c>
    </row>
    <row r="22" spans="1:9" ht="12.75">
      <c r="A22" s="1" t="s">
        <v>90</v>
      </c>
      <c r="B22" s="1"/>
      <c r="C22" t="str" cm="1">
        <f t="array" ref="C22">IFERROR(_xlfn.TEXTJOIN(", ", TRUE, _xlfn._xlws.FILTER($H$3:$H$33, $I$3:$I$33 = B22)),"")</f>
        <v/>
      </c>
      <c r="H22" t="s">
        <v>165</v>
      </c>
      <c r="I22" s="4" t="s">
        <v>66</v>
      </c>
    </row>
    <row r="23" spans="1:9" ht="12.75">
      <c r="A23" s="1" t="s">
        <v>50</v>
      </c>
      <c r="B23" s="5" t="s">
        <v>177</v>
      </c>
      <c r="C23" t="str" cm="1">
        <f t="array" ref="C23">IFERROR(_xlfn.TEXTJOIN(", ", TRUE, _xlfn._xlws.FILTER($H$3:$H$33, $I$3:$I$33 = B23)),"")</f>
        <v>FM SCAFFOLDER, SCAFFOLDER</v>
      </c>
      <c r="E23" s="1">
        <v>11</v>
      </c>
      <c r="H23" t="s">
        <v>166</v>
      </c>
      <c r="I23" s="4" t="s">
        <v>84</v>
      </c>
    </row>
    <row r="24" spans="1:9" ht="12.75">
      <c r="A24" s="1" t="s">
        <v>53</v>
      </c>
      <c r="B24" s="5" t="s">
        <v>103</v>
      </c>
      <c r="C24" t="str" cm="1">
        <f t="array" ref="C24">IFERROR(_xlfn.TEXTJOIN(", ", TRUE, _xlfn._xlws.FILTER($H$3:$H$33, $I$3:$I$33 = B24)),"")</f>
        <v>Worker, Fitter, RIGGER, MILLRIGHT, ELECTRIC, Welder</v>
      </c>
      <c r="E24" s="1">
        <v>36</v>
      </c>
      <c r="H24" t="s">
        <v>167</v>
      </c>
      <c r="I24" s="4" t="s">
        <v>84</v>
      </c>
    </row>
    <row r="25" spans="1:9" ht="12.75">
      <c r="A25" s="1" t="s">
        <v>55</v>
      </c>
      <c r="B25" s="5" t="s">
        <v>100</v>
      </c>
      <c r="C25" t="str" cm="1">
        <f t="array" ref="C25">IFERROR(_xlfn.TEXTJOIN(", ", TRUE, _xlfn._xlws.FILTER($H$3:$H$33, $I$3:$I$33 = B25)),"")</f>
        <v>WAREHOUSE, HELPER MECH, HELPER SCAFF, HOLE WATCHER</v>
      </c>
      <c r="E25" s="1">
        <v>1</v>
      </c>
      <c r="H25" t="s">
        <v>168</v>
      </c>
      <c r="I25" s="4" t="s">
        <v>84</v>
      </c>
    </row>
    <row r="26" spans="1:9" ht="12.75">
      <c r="A26" s="1" t="s">
        <v>93</v>
      </c>
      <c r="B26" s="1"/>
      <c r="C26" t="str" cm="1">
        <f t="array" ref="C26">IFERROR(_xlfn.TEXTJOIN(", ", TRUE, _xlfn._xlws.FILTER($H$3:$H$33, $I$3:$I$33 = B26)),"")</f>
        <v/>
      </c>
      <c r="H26" t="s">
        <v>169</v>
      </c>
      <c r="I26" s="4" t="s">
        <v>103</v>
      </c>
    </row>
    <row r="27" spans="1:9" ht="12.75">
      <c r="A27" s="1" t="s">
        <v>59</v>
      </c>
      <c r="B27" s="5" t="s">
        <v>86</v>
      </c>
      <c r="C27" t="str" cm="1">
        <f t="array" ref="C27">IFERROR(_xlfn.TEXTJOIN(", ", TRUE, _xlfn._xlws.FILTER($H$3:$H$33, $I$3:$I$33 = B27)),"")</f>
        <v>HRD, SDCC, Driver, Admin</v>
      </c>
      <c r="E27" s="1">
        <v>3</v>
      </c>
      <c r="H27" t="s">
        <v>105</v>
      </c>
      <c r="I27" s="4" t="s">
        <v>103</v>
      </c>
    </row>
    <row r="28" spans="1:9" ht="12.75">
      <c r="A28" s="1" t="s">
        <v>96</v>
      </c>
      <c r="B28" s="5" t="s">
        <v>108</v>
      </c>
      <c r="C28" t="str" cm="1">
        <f t="array" ref="C28">IFERROR(_xlfn.TEXTJOIN(", ", TRUE, _xlfn._xlws.FILTER($H$3:$H$33, $I$3:$I$33 = B28)),"")</f>
        <v>OPR CRANE, OPR TMC</v>
      </c>
      <c r="H28" t="s">
        <v>170</v>
      </c>
      <c r="I28" s="4" t="s">
        <v>100</v>
      </c>
    </row>
    <row r="29" spans="1:9" ht="12.75">
      <c r="A29" s="1" t="s">
        <v>98</v>
      </c>
      <c r="C29" s="1"/>
      <c r="E29" s="1">
        <f>SUM(E3:E28)</f>
        <v>64</v>
      </c>
      <c r="H29" t="s">
        <v>171</v>
      </c>
      <c r="I29" s="4" t="s">
        <v>100</v>
      </c>
    </row>
    <row r="30" spans="1:9" ht="15.75" customHeight="1">
      <c r="H30" t="s">
        <v>172</v>
      </c>
      <c r="I30" s="4" t="s">
        <v>100</v>
      </c>
    </row>
    <row r="31" spans="1:9" ht="15.75" customHeight="1">
      <c r="H31" t="s">
        <v>173</v>
      </c>
      <c r="I31" s="4" t="s">
        <v>100</v>
      </c>
    </row>
    <row r="32" spans="1:9" ht="15.75" customHeight="1">
      <c r="H32" t="s">
        <v>174</v>
      </c>
      <c r="I32" s="4" t="s">
        <v>108</v>
      </c>
    </row>
    <row r="33" spans="8:9" ht="15.75" customHeight="1">
      <c r="H33" t="s">
        <v>175</v>
      </c>
      <c r="I33" s="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1"/>
  <sheetViews>
    <sheetView workbookViewId="0"/>
  </sheetViews>
  <sheetFormatPr defaultColWidth="12.5703125" defaultRowHeight="15.75" customHeight="1"/>
  <cols>
    <col min="1" max="1" width="24.5703125" customWidth="1"/>
    <col min="3" max="3" width="29.7109375" customWidth="1"/>
    <col min="4" max="4" width="26.85546875" customWidth="1"/>
  </cols>
  <sheetData>
    <row r="1" spans="1:6">
      <c r="A1" s="6" t="s">
        <v>116</v>
      </c>
      <c r="B1" s="7"/>
      <c r="C1" s="8" t="s">
        <v>115</v>
      </c>
      <c r="D1" s="9"/>
      <c r="E1" s="9"/>
      <c r="F1" s="7"/>
    </row>
    <row r="2" spans="1:6">
      <c r="A2" s="10"/>
      <c r="B2" s="7"/>
      <c r="C2" s="11" t="s">
        <v>4</v>
      </c>
      <c r="D2" s="7"/>
      <c r="E2" s="7"/>
      <c r="F2" s="7"/>
    </row>
    <row r="3" spans="1:6">
      <c r="A3" s="10" t="s">
        <v>17</v>
      </c>
      <c r="B3" s="10" t="s">
        <v>18</v>
      </c>
      <c r="C3" s="7" t="s">
        <v>117</v>
      </c>
      <c r="D3" s="7"/>
      <c r="E3" s="10" t="s">
        <v>19</v>
      </c>
      <c r="F3" s="10" t="s">
        <v>20</v>
      </c>
    </row>
    <row r="4" spans="1:6">
      <c r="A4" s="10" t="s">
        <v>21</v>
      </c>
      <c r="B4" s="10" t="s">
        <v>23</v>
      </c>
      <c r="C4" s="7" t="s">
        <v>117</v>
      </c>
      <c r="D4" s="7"/>
      <c r="E4" s="10" t="s">
        <v>24</v>
      </c>
      <c r="F4" s="10" t="s">
        <v>30</v>
      </c>
    </row>
    <row r="5" spans="1:6">
      <c r="A5" s="10" t="s">
        <v>26</v>
      </c>
      <c r="B5" s="10" t="s">
        <v>20</v>
      </c>
      <c r="C5" s="7" t="s">
        <v>19</v>
      </c>
      <c r="D5" s="7"/>
      <c r="E5" s="10" t="s">
        <v>34</v>
      </c>
      <c r="F5" s="10" t="s">
        <v>30</v>
      </c>
    </row>
    <row r="6" spans="1:6">
      <c r="A6" s="10" t="s">
        <v>37</v>
      </c>
      <c r="B6" s="10" t="s">
        <v>39</v>
      </c>
      <c r="C6" s="7" t="s">
        <v>117</v>
      </c>
      <c r="D6" s="7"/>
      <c r="E6" s="10" t="s">
        <v>40</v>
      </c>
      <c r="F6" s="10" t="s">
        <v>30</v>
      </c>
    </row>
    <row r="7" spans="1:6">
      <c r="A7" s="10" t="s">
        <v>31</v>
      </c>
      <c r="B7" s="10" t="s">
        <v>30</v>
      </c>
      <c r="C7" s="7" t="s">
        <v>118</v>
      </c>
      <c r="D7" s="7"/>
      <c r="E7" s="10" t="s">
        <v>44</v>
      </c>
      <c r="F7" s="10" t="s">
        <v>46</v>
      </c>
    </row>
    <row r="8" spans="1:6">
      <c r="A8" s="10" t="s">
        <v>48</v>
      </c>
      <c r="B8" s="10" t="s">
        <v>49</v>
      </c>
      <c r="C8" s="7" t="s">
        <v>117</v>
      </c>
      <c r="D8" s="7"/>
      <c r="E8" s="10" t="s">
        <v>33</v>
      </c>
      <c r="F8" s="10" t="s">
        <v>46</v>
      </c>
    </row>
    <row r="9" spans="1:6">
      <c r="A9" s="10" t="s">
        <v>52</v>
      </c>
      <c r="B9" s="10" t="s">
        <v>46</v>
      </c>
      <c r="C9" s="7" t="s">
        <v>119</v>
      </c>
      <c r="D9" s="7"/>
      <c r="E9" s="10" t="s">
        <v>36</v>
      </c>
      <c r="F9" s="10" t="s">
        <v>57</v>
      </c>
    </row>
    <row r="10" spans="1:6">
      <c r="A10" s="10" t="s">
        <v>58</v>
      </c>
      <c r="B10" s="10" t="s">
        <v>60</v>
      </c>
      <c r="C10" s="7" t="s">
        <v>117</v>
      </c>
      <c r="D10" s="7"/>
      <c r="E10" s="10" t="s">
        <v>62</v>
      </c>
      <c r="F10" s="10" t="s">
        <v>57</v>
      </c>
    </row>
    <row r="11" spans="1:6">
      <c r="A11" s="10" t="s">
        <v>41</v>
      </c>
      <c r="B11" s="10" t="s">
        <v>66</v>
      </c>
      <c r="C11" s="7" t="s">
        <v>110</v>
      </c>
      <c r="D11" s="7"/>
      <c r="E11" s="10" t="s">
        <v>67</v>
      </c>
      <c r="F11" s="10" t="s">
        <v>68</v>
      </c>
    </row>
    <row r="12" spans="1:6">
      <c r="A12" s="10" t="s">
        <v>69</v>
      </c>
      <c r="B12" s="10" t="s">
        <v>71</v>
      </c>
      <c r="C12" s="7" t="s">
        <v>117</v>
      </c>
      <c r="D12" s="7"/>
      <c r="E12" s="10" t="s">
        <v>72</v>
      </c>
      <c r="F12" s="10" t="s">
        <v>68</v>
      </c>
    </row>
    <row r="13" spans="1:6">
      <c r="A13" s="10" t="s">
        <v>74</v>
      </c>
      <c r="B13" s="10" t="s">
        <v>77</v>
      </c>
      <c r="C13" s="7" t="s">
        <v>117</v>
      </c>
      <c r="D13" s="7"/>
      <c r="E13" s="10" t="s">
        <v>78</v>
      </c>
      <c r="F13" s="10" t="s">
        <v>68</v>
      </c>
    </row>
    <row r="14" spans="1:6">
      <c r="A14" s="10" t="s">
        <v>76</v>
      </c>
      <c r="B14" s="10" t="s">
        <v>57</v>
      </c>
      <c r="C14" s="7" t="s">
        <v>120</v>
      </c>
      <c r="D14" s="7"/>
      <c r="E14" s="10" t="s">
        <v>81</v>
      </c>
      <c r="F14" s="10" t="s">
        <v>68</v>
      </c>
    </row>
    <row r="15" spans="1:6">
      <c r="A15" s="10" t="s">
        <v>79</v>
      </c>
      <c r="B15" s="7"/>
      <c r="C15" s="7" t="s">
        <v>117</v>
      </c>
      <c r="D15" s="7"/>
      <c r="E15" s="10" t="s">
        <v>83</v>
      </c>
      <c r="F15" s="10" t="s">
        <v>84</v>
      </c>
    </row>
    <row r="16" spans="1:6">
      <c r="A16" s="10" t="s">
        <v>80</v>
      </c>
      <c r="B16" s="7"/>
      <c r="C16" s="7" t="s">
        <v>117</v>
      </c>
      <c r="D16" s="7"/>
      <c r="E16" s="10" t="s">
        <v>85</v>
      </c>
      <c r="F16" s="10" t="s">
        <v>86</v>
      </c>
    </row>
    <row r="17" spans="1:6">
      <c r="A17" s="10" t="s">
        <v>82</v>
      </c>
      <c r="B17" s="7"/>
      <c r="C17" s="7" t="s">
        <v>117</v>
      </c>
      <c r="D17" s="7"/>
      <c r="E17" s="10" t="s">
        <v>89</v>
      </c>
      <c r="F17" s="10" t="s">
        <v>68</v>
      </c>
    </row>
    <row r="18" spans="1:6">
      <c r="A18" s="10" t="s">
        <v>43</v>
      </c>
      <c r="B18" s="10" t="s">
        <v>68</v>
      </c>
      <c r="C18" s="7" t="s">
        <v>121</v>
      </c>
      <c r="D18" s="7"/>
      <c r="E18" s="10" t="s">
        <v>91</v>
      </c>
      <c r="F18" s="10" t="s">
        <v>68</v>
      </c>
    </row>
    <row r="19" spans="1:6">
      <c r="A19" s="10" t="s">
        <v>47</v>
      </c>
      <c r="B19" s="10" t="s">
        <v>84</v>
      </c>
      <c r="C19" s="7" t="s">
        <v>83</v>
      </c>
      <c r="D19" s="7"/>
      <c r="E19" s="10" t="s">
        <v>92</v>
      </c>
      <c r="F19" s="10" t="s">
        <v>86</v>
      </c>
    </row>
    <row r="20" spans="1:6">
      <c r="A20" s="10" t="s">
        <v>87</v>
      </c>
      <c r="B20" s="10" t="s">
        <v>94</v>
      </c>
      <c r="C20" s="7" t="s">
        <v>117</v>
      </c>
      <c r="D20" s="7"/>
      <c r="E20" s="10" t="s">
        <v>95</v>
      </c>
      <c r="F20" s="10" t="s">
        <v>86</v>
      </c>
    </row>
    <row r="21" spans="1:6">
      <c r="A21" s="10" t="s">
        <v>88</v>
      </c>
      <c r="B21" s="7"/>
      <c r="C21" s="7" t="s">
        <v>117</v>
      </c>
      <c r="D21" s="7"/>
      <c r="E21" s="10" t="s">
        <v>97</v>
      </c>
      <c r="F21" s="10" t="s">
        <v>86</v>
      </c>
    </row>
    <row r="22" spans="1:6">
      <c r="A22" s="10" t="s">
        <v>90</v>
      </c>
      <c r="B22" s="7"/>
      <c r="C22" s="7" t="s">
        <v>117</v>
      </c>
      <c r="D22" s="7"/>
      <c r="E22" s="10" t="s">
        <v>99</v>
      </c>
      <c r="F22" s="10" t="s">
        <v>100</v>
      </c>
    </row>
    <row r="23" spans="1:6">
      <c r="A23" s="10" t="s">
        <v>50</v>
      </c>
      <c r="B23" s="10" t="s">
        <v>101</v>
      </c>
      <c r="C23" s="7" t="s">
        <v>50</v>
      </c>
      <c r="D23" s="7"/>
      <c r="E23" s="10" t="s">
        <v>102</v>
      </c>
      <c r="F23" s="10" t="s">
        <v>103</v>
      </c>
    </row>
    <row r="24" spans="1:6">
      <c r="A24" s="10" t="s">
        <v>104</v>
      </c>
      <c r="B24" s="10" t="s">
        <v>103</v>
      </c>
      <c r="C24" s="7" t="s">
        <v>122</v>
      </c>
      <c r="D24" s="7"/>
      <c r="E24" s="10" t="s">
        <v>105</v>
      </c>
      <c r="F24" s="10" t="s">
        <v>103</v>
      </c>
    </row>
    <row r="25" spans="1:6">
      <c r="A25" s="10" t="s">
        <v>106</v>
      </c>
      <c r="B25" s="10" t="s">
        <v>100</v>
      </c>
      <c r="C25" s="7" t="s">
        <v>123</v>
      </c>
      <c r="D25" s="7"/>
      <c r="E25" s="10" t="s">
        <v>50</v>
      </c>
      <c r="F25" s="10" t="s">
        <v>101</v>
      </c>
    </row>
    <row r="26" spans="1:6">
      <c r="A26" s="10" t="s">
        <v>93</v>
      </c>
      <c r="B26" s="7"/>
      <c r="C26" s="7" t="s">
        <v>117</v>
      </c>
      <c r="D26" s="7"/>
      <c r="E26" s="10" t="s">
        <v>107</v>
      </c>
      <c r="F26" s="10" t="s">
        <v>103</v>
      </c>
    </row>
    <row r="27" spans="1:6">
      <c r="A27" s="10" t="s">
        <v>59</v>
      </c>
      <c r="B27" s="10" t="s">
        <v>86</v>
      </c>
      <c r="C27" s="7" t="s">
        <v>124</v>
      </c>
      <c r="D27" s="7"/>
      <c r="E27" s="10" t="s">
        <v>63</v>
      </c>
      <c r="F27" s="10" t="s">
        <v>108</v>
      </c>
    </row>
    <row r="28" spans="1:6">
      <c r="A28" s="10" t="s">
        <v>96</v>
      </c>
      <c r="B28" s="10" t="s">
        <v>108</v>
      </c>
      <c r="C28" s="7" t="s">
        <v>63</v>
      </c>
      <c r="D28" s="7"/>
      <c r="E28" s="10" t="s">
        <v>109</v>
      </c>
      <c r="F28" s="10" t="s">
        <v>103</v>
      </c>
    </row>
    <row r="29" spans="1:6">
      <c r="A29" s="7"/>
      <c r="B29" s="7"/>
      <c r="C29" s="7"/>
      <c r="D29" s="7"/>
      <c r="E29" s="10" t="s">
        <v>110</v>
      </c>
      <c r="F29" s="10" t="s">
        <v>66</v>
      </c>
    </row>
    <row r="30" spans="1:6">
      <c r="A30" s="7"/>
      <c r="B30" s="7"/>
      <c r="C30" s="7"/>
      <c r="D30" s="7"/>
      <c r="E30" s="10" t="s">
        <v>111</v>
      </c>
      <c r="F30" s="10" t="s">
        <v>103</v>
      </c>
    </row>
    <row r="31" spans="1:6">
      <c r="A31" s="7"/>
      <c r="B31" s="7"/>
      <c r="C31" s="7"/>
      <c r="D31" s="7"/>
      <c r="E31" s="10" t="s">
        <v>112</v>
      </c>
      <c r="F31" s="10" t="s">
        <v>86</v>
      </c>
    </row>
    <row r="32" spans="1:6">
      <c r="A32" s="7"/>
      <c r="B32" s="7"/>
      <c r="C32" s="7"/>
      <c r="D32" s="7"/>
      <c r="E32" s="10" t="s">
        <v>113</v>
      </c>
      <c r="F32" s="10" t="s">
        <v>100</v>
      </c>
    </row>
    <row r="33" spans="3:5">
      <c r="C33" s="3"/>
      <c r="D33" s="3"/>
      <c r="E33" s="3"/>
    </row>
    <row r="34" spans="3:5">
      <c r="C34" s="3"/>
      <c r="D34" s="3"/>
      <c r="E34" s="3"/>
    </row>
    <row r="35" spans="3:5">
      <c r="C35" s="3"/>
      <c r="D35" s="3"/>
      <c r="E35" s="3"/>
    </row>
    <row r="36" spans="3:5">
      <c r="C36" s="3"/>
      <c r="D36" s="3"/>
      <c r="E36" s="3"/>
    </row>
    <row r="37" spans="3:5">
      <c r="C37" s="3"/>
      <c r="D37" s="3"/>
      <c r="E37" s="3"/>
    </row>
    <row r="38" spans="3:5">
      <c r="C38" s="3"/>
      <c r="D38" s="3"/>
      <c r="E38" s="3"/>
    </row>
    <row r="39" spans="3:5">
      <c r="C39" s="3"/>
      <c r="D39" s="3"/>
      <c r="E39" s="3"/>
    </row>
    <row r="40" spans="3:5">
      <c r="C40" s="3"/>
      <c r="D40" s="3"/>
      <c r="E40" s="3"/>
    </row>
    <row r="41" spans="3:5">
      <c r="C41" s="3"/>
      <c r="D41" s="3"/>
      <c r="E41" s="3"/>
    </row>
    <row r="42" spans="3:5">
      <c r="C42" s="3"/>
      <c r="D42" s="3"/>
      <c r="E42" s="3"/>
    </row>
    <row r="43" spans="3:5">
      <c r="C43" s="3"/>
      <c r="D43" s="3"/>
      <c r="E43" s="3"/>
    </row>
    <row r="44" spans="3:5">
      <c r="C44" s="3"/>
      <c r="D44" s="3"/>
      <c r="E44" s="3"/>
    </row>
    <row r="45" spans="3:5">
      <c r="C45" s="3"/>
      <c r="D45" s="3"/>
      <c r="E45" s="3"/>
    </row>
    <row r="46" spans="3:5">
      <c r="C46" s="3"/>
      <c r="D46" s="3"/>
      <c r="E46" s="3"/>
    </row>
    <row r="47" spans="3:5">
      <c r="C47" s="3"/>
      <c r="D47" s="3"/>
      <c r="E47" s="3"/>
    </row>
    <row r="48" spans="3:5">
      <c r="C48" s="3"/>
      <c r="D48" s="3"/>
      <c r="E48" s="3"/>
    </row>
    <row r="49" spans="3:5">
      <c r="C49" s="3"/>
      <c r="D49" s="3"/>
      <c r="E49" s="3"/>
    </row>
    <row r="50" spans="3:5">
      <c r="C50" s="3"/>
      <c r="D50" s="3"/>
      <c r="E50" s="3"/>
    </row>
    <row r="51" spans="3:5">
      <c r="C51" s="3"/>
      <c r="D51" s="3"/>
      <c r="E51" s="3"/>
    </row>
    <row r="52" spans="3:5">
      <c r="C52" s="3"/>
      <c r="D52" s="3"/>
      <c r="E52" s="3"/>
    </row>
    <row r="53" spans="3:5">
      <c r="C53" s="3"/>
      <c r="D53" s="3"/>
      <c r="E53" s="3"/>
    </row>
    <row r="54" spans="3:5">
      <c r="C54" s="3"/>
      <c r="D54" s="3"/>
      <c r="E54" s="3"/>
    </row>
    <row r="55" spans="3:5">
      <c r="C55" s="3"/>
      <c r="D55" s="3"/>
      <c r="E55" s="3"/>
    </row>
    <row r="56" spans="3:5">
      <c r="C56" s="3"/>
      <c r="D56" s="3"/>
      <c r="E56" s="3"/>
    </row>
    <row r="57" spans="3:5">
      <c r="C57" s="3"/>
      <c r="D57" s="3"/>
      <c r="E57" s="3"/>
    </row>
    <row r="58" spans="3:5">
      <c r="C58" s="3"/>
      <c r="D58" s="3"/>
      <c r="E58" s="3"/>
    </row>
    <row r="59" spans="3:5">
      <c r="C59" s="3"/>
      <c r="D59" s="3"/>
      <c r="E59" s="3"/>
    </row>
    <row r="60" spans="3:5">
      <c r="C60" s="3"/>
      <c r="D60" s="3"/>
      <c r="E60" s="3"/>
    </row>
    <row r="61" spans="3:5">
      <c r="C61" s="3"/>
      <c r="D61" s="3"/>
      <c r="E6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8"/>
  <sheetViews>
    <sheetView workbookViewId="0"/>
  </sheetViews>
  <sheetFormatPr defaultColWidth="12.5703125" defaultRowHeight="15.75" customHeight="1"/>
  <cols>
    <col min="1" max="1" width="19.7109375" customWidth="1"/>
  </cols>
  <sheetData>
    <row r="1" spans="1:8" ht="12.75">
      <c r="A1" s="1" t="s">
        <v>7</v>
      </c>
      <c r="B1" s="1" t="s">
        <v>3</v>
      </c>
      <c r="C1" s="2">
        <v>46284</v>
      </c>
      <c r="D1" s="2">
        <f t="shared" ref="D1:F1" si="0">C1+1</f>
        <v>46285</v>
      </c>
      <c r="E1" s="2">
        <f t="shared" si="0"/>
        <v>46286</v>
      </c>
      <c r="F1" s="2">
        <f t="shared" si="0"/>
        <v>46287</v>
      </c>
    </row>
    <row r="2" spans="1:8" ht="12.75">
      <c r="A2" s="1" t="s">
        <v>16</v>
      </c>
    </row>
    <row r="3" spans="1:8" ht="12.75">
      <c r="A3" s="1" t="s">
        <v>17</v>
      </c>
      <c r="B3" s="1" t="s">
        <v>22</v>
      </c>
      <c r="F3" s="1"/>
      <c r="H3" s="4" t="s">
        <v>22</v>
      </c>
    </row>
    <row r="4" spans="1:8" ht="12.75">
      <c r="A4" s="1" t="s">
        <v>21</v>
      </c>
      <c r="B4" s="1" t="s">
        <v>25</v>
      </c>
      <c r="F4" s="1">
        <v>1</v>
      </c>
      <c r="H4" s="4" t="s">
        <v>25</v>
      </c>
    </row>
    <row r="5" spans="1:8" ht="12.75">
      <c r="A5" s="1" t="s">
        <v>26</v>
      </c>
      <c r="B5" s="1" t="s">
        <v>27</v>
      </c>
      <c r="F5" s="1">
        <v>1</v>
      </c>
      <c r="H5" s="4" t="s">
        <v>144</v>
      </c>
    </row>
    <row r="6" spans="1:8" ht="12.75">
      <c r="A6" s="1" t="s">
        <v>37</v>
      </c>
      <c r="B6" s="1" t="s">
        <v>29</v>
      </c>
      <c r="H6" s="4" t="s">
        <v>29</v>
      </c>
    </row>
    <row r="7" spans="1:8" ht="12.75">
      <c r="A7" s="1" t="s">
        <v>31</v>
      </c>
      <c r="B7" s="1" t="s">
        <v>32</v>
      </c>
      <c r="F7" s="1">
        <v>1</v>
      </c>
      <c r="H7" t="s">
        <v>129</v>
      </c>
    </row>
    <row r="8" spans="1:8" ht="12.75">
      <c r="A8" s="1" t="s">
        <v>52</v>
      </c>
      <c r="B8" s="1" t="s">
        <v>35</v>
      </c>
      <c r="F8" s="1">
        <v>6</v>
      </c>
      <c r="H8" t="s">
        <v>130</v>
      </c>
    </row>
    <row r="9" spans="1:8" ht="12.75">
      <c r="A9" s="1" t="s">
        <v>76</v>
      </c>
      <c r="B9" s="1" t="s">
        <v>38</v>
      </c>
      <c r="F9" s="1">
        <v>9</v>
      </c>
      <c r="H9" t="s">
        <v>132</v>
      </c>
    </row>
    <row r="10" spans="1:8" ht="12.75">
      <c r="A10" s="1" t="s">
        <v>41</v>
      </c>
      <c r="B10" s="1" t="s">
        <v>42</v>
      </c>
      <c r="H10" t="s">
        <v>131</v>
      </c>
    </row>
    <row r="11" spans="1:8" ht="12.75">
      <c r="A11" s="1" t="s">
        <v>43</v>
      </c>
      <c r="B11" s="1" t="s">
        <v>45</v>
      </c>
      <c r="F11" s="1">
        <v>5</v>
      </c>
      <c r="H11" t="s">
        <v>135</v>
      </c>
    </row>
    <row r="12" spans="1:8" ht="12.75">
      <c r="A12" s="1" t="s">
        <v>47</v>
      </c>
      <c r="B12" s="1" t="s">
        <v>47</v>
      </c>
      <c r="F12" s="1">
        <v>2</v>
      </c>
      <c r="H12" s="4" t="s">
        <v>142</v>
      </c>
    </row>
    <row r="13" spans="1:8" ht="12.75">
      <c r="A13" s="1" t="s">
        <v>50</v>
      </c>
      <c r="B13" s="1" t="s">
        <v>51</v>
      </c>
      <c r="F13" s="1">
        <v>2</v>
      </c>
      <c r="H13" t="s">
        <v>137</v>
      </c>
    </row>
    <row r="14" spans="1:8" ht="12.75">
      <c r="A14" s="1" t="s">
        <v>104</v>
      </c>
      <c r="B14" s="1" t="s">
        <v>54</v>
      </c>
      <c r="F14" s="1">
        <v>3</v>
      </c>
      <c r="H14" s="4" t="s">
        <v>143</v>
      </c>
    </row>
    <row r="15" spans="1:8" ht="12.75">
      <c r="A15" s="1" t="s">
        <v>106</v>
      </c>
      <c r="B15" s="1" t="s">
        <v>56</v>
      </c>
      <c r="F15" s="1">
        <v>2</v>
      </c>
      <c r="H15" t="s">
        <v>139</v>
      </c>
    </row>
    <row r="16" spans="1:8" ht="12.75">
      <c r="A16" s="1" t="s">
        <v>59</v>
      </c>
      <c r="B16" s="1" t="s">
        <v>61</v>
      </c>
      <c r="F16" s="1">
        <v>6</v>
      </c>
      <c r="H16" s="4" t="s">
        <v>141</v>
      </c>
    </row>
    <row r="17" spans="1:8" ht="12.75">
      <c r="A17" s="1" t="s">
        <v>96</v>
      </c>
      <c r="B17" s="1" t="s">
        <v>64</v>
      </c>
      <c r="F17" s="1">
        <v>1</v>
      </c>
      <c r="H17" t="s">
        <v>140</v>
      </c>
    </row>
    <row r="19" spans="1:8" ht="12.75">
      <c r="A19" s="1" t="s">
        <v>98</v>
      </c>
      <c r="F19" s="1">
        <v>108</v>
      </c>
    </row>
    <row r="26" spans="1:8" ht="15.75" customHeight="1">
      <c r="B26" t="s">
        <v>127</v>
      </c>
      <c r="C26" t="s">
        <v>128</v>
      </c>
    </row>
    <row r="27" spans="1:8" ht="15.75" customHeight="1">
      <c r="B27" t="s">
        <v>31</v>
      </c>
      <c r="C27" t="s">
        <v>129</v>
      </c>
    </row>
    <row r="28" spans="1:8" ht="15.75" customHeight="1">
      <c r="B28" t="s">
        <v>52</v>
      </c>
      <c r="C28" t="s">
        <v>130</v>
      </c>
    </row>
    <row r="29" spans="1:8" ht="15.75" customHeight="1">
      <c r="B29" t="s">
        <v>41</v>
      </c>
      <c r="C29" t="s">
        <v>131</v>
      </c>
    </row>
    <row r="30" spans="1:8" ht="15.75" customHeight="1">
      <c r="B30" t="s">
        <v>76</v>
      </c>
      <c r="C30" t="s">
        <v>132</v>
      </c>
    </row>
    <row r="31" spans="1:8" ht="15.75" customHeight="1">
      <c r="B31" t="s">
        <v>79</v>
      </c>
      <c r="C31" t="s">
        <v>133</v>
      </c>
    </row>
    <row r="32" spans="1:8" ht="15.75" customHeight="1">
      <c r="B32" t="s">
        <v>59</v>
      </c>
      <c r="C32" s="4" t="s">
        <v>134</v>
      </c>
    </row>
    <row r="33" spans="2:3" ht="15.75" customHeight="1">
      <c r="B33" t="s">
        <v>43</v>
      </c>
      <c r="C33" t="s">
        <v>135</v>
      </c>
    </row>
    <row r="34" spans="2:3" ht="15.75" customHeight="1">
      <c r="B34" t="s">
        <v>47</v>
      </c>
      <c r="C34" t="s">
        <v>136</v>
      </c>
    </row>
    <row r="35" spans="2:3" ht="15.75" customHeight="1">
      <c r="B35" t="s">
        <v>50</v>
      </c>
      <c r="C35" t="s">
        <v>137</v>
      </c>
    </row>
    <row r="36" spans="2:3" ht="15.75" customHeight="1">
      <c r="B36" t="s">
        <v>104</v>
      </c>
      <c r="C36" t="s">
        <v>138</v>
      </c>
    </row>
    <row r="37" spans="2:3" ht="15.75" customHeight="1">
      <c r="B37" t="s">
        <v>55</v>
      </c>
      <c r="C37" t="s">
        <v>139</v>
      </c>
    </row>
    <row r="38" spans="2:3" ht="15.75" customHeight="1">
      <c r="B38" t="s">
        <v>96</v>
      </c>
      <c r="C38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9"/>
  <sheetViews>
    <sheetView workbookViewId="0"/>
  </sheetViews>
  <sheetFormatPr defaultColWidth="12.5703125" defaultRowHeight="15.75" customHeight="1"/>
  <sheetData>
    <row r="1" spans="1:6">
      <c r="A1" s="1" t="s">
        <v>114</v>
      </c>
      <c r="B1" s="1" t="s">
        <v>3</v>
      </c>
      <c r="C1" s="2">
        <v>46284</v>
      </c>
      <c r="D1" s="2">
        <f t="shared" ref="D1:F1" si="0">C1+1</f>
        <v>46285</v>
      </c>
      <c r="E1" s="2">
        <f t="shared" si="0"/>
        <v>46286</v>
      </c>
      <c r="F1" s="2">
        <f t="shared" si="0"/>
        <v>46287</v>
      </c>
    </row>
    <row r="2" spans="1:6">
      <c r="A2" s="1" t="s">
        <v>16</v>
      </c>
    </row>
    <row r="3" spans="1:6">
      <c r="A3" s="1" t="s">
        <v>17</v>
      </c>
      <c r="B3" s="1" t="s">
        <v>22</v>
      </c>
    </row>
    <row r="4" spans="1:6">
      <c r="A4" s="1" t="s">
        <v>21</v>
      </c>
      <c r="B4" s="1" t="s">
        <v>25</v>
      </c>
    </row>
    <row r="5" spans="1:6">
      <c r="A5" s="1" t="s">
        <v>26</v>
      </c>
      <c r="B5" s="1" t="s">
        <v>27</v>
      </c>
    </row>
    <row r="6" spans="1:6">
      <c r="A6" s="1" t="s">
        <v>28</v>
      </c>
      <c r="B6" s="1" t="s">
        <v>29</v>
      </c>
    </row>
    <row r="7" spans="1:6">
      <c r="A7" s="1" t="s">
        <v>31</v>
      </c>
      <c r="B7" s="1" t="s">
        <v>32</v>
      </c>
    </row>
    <row r="8" spans="1:6">
      <c r="A8" s="1" t="s">
        <v>33</v>
      </c>
      <c r="B8" s="1" t="s">
        <v>35</v>
      </c>
    </row>
    <row r="9" spans="1:6">
      <c r="A9" s="1" t="s">
        <v>36</v>
      </c>
      <c r="B9" s="1" t="s">
        <v>38</v>
      </c>
    </row>
    <row r="10" spans="1:6">
      <c r="A10" s="1" t="s">
        <v>41</v>
      </c>
      <c r="B10" s="1" t="s">
        <v>42</v>
      </c>
    </row>
    <row r="11" spans="1:6">
      <c r="A11" s="1" t="s">
        <v>43</v>
      </c>
      <c r="B11" s="1" t="s">
        <v>45</v>
      </c>
    </row>
    <row r="12" spans="1:6">
      <c r="A12" s="1" t="s">
        <v>47</v>
      </c>
      <c r="B12" s="1" t="s">
        <v>47</v>
      </c>
    </row>
    <row r="13" spans="1:6">
      <c r="A13" s="1" t="s">
        <v>50</v>
      </c>
      <c r="B13" s="1" t="s">
        <v>51</v>
      </c>
    </row>
    <row r="14" spans="1:6">
      <c r="A14" s="1" t="s">
        <v>53</v>
      </c>
      <c r="B14" s="1" t="s">
        <v>54</v>
      </c>
      <c r="F14" s="1">
        <v>22</v>
      </c>
    </row>
    <row r="15" spans="1:6">
      <c r="A15" s="1" t="s">
        <v>55</v>
      </c>
      <c r="B15" s="1" t="s">
        <v>56</v>
      </c>
    </row>
    <row r="16" spans="1:6">
      <c r="A16" s="1" t="s">
        <v>59</v>
      </c>
      <c r="B16" s="1" t="s">
        <v>61</v>
      </c>
      <c r="F16" s="1">
        <v>12</v>
      </c>
    </row>
    <row r="17" spans="1:6">
      <c r="A17" s="1" t="s">
        <v>63</v>
      </c>
      <c r="B17" s="1" t="s">
        <v>64</v>
      </c>
    </row>
    <row r="19" spans="1:6">
      <c r="A19" s="1" t="s">
        <v>98</v>
      </c>
      <c r="F19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Pemetaan Posisi</vt:lpstr>
      <vt:lpstr>DHJ</vt:lpstr>
      <vt:lpstr>TPE</vt:lpstr>
      <vt:lpstr>WME</vt:lpstr>
      <vt:lpstr>SILOG</vt:lpstr>
      <vt:lpstr>WKP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Dhani Widoyoko</cp:lastModifiedBy>
  <dcterms:modified xsi:type="dcterms:W3CDTF">2026-10-04T15:50:54Z</dcterms:modified>
</cp:coreProperties>
</file>